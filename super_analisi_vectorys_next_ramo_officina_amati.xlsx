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c6fa3bbe445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b5a75ca0bdc34683"/>
    <x:sheet xmlns:r="http://schemas.openxmlformats.org/officeDocument/2006/relationships" name="01_Fonti_e_limiti" sheetId="2" r:id="Raa93f6b783dc4508"/>
    <x:sheet xmlns:r="http://schemas.openxmlformats.org/officeDocument/2006/relationships" name="02_Bilanci" sheetId="3" r:id="Ra921cf8f285649c3"/>
    <x:sheet xmlns:r="http://schemas.openxmlformats.org/officeDocument/2006/relationships" name="03_KPI_Officina" sheetId="4" r:id="Rcc9bb8fb964d4eec"/>
    <x:sheet xmlns:r="http://schemas.openxmlformats.org/officeDocument/2006/relationships" name="04_Mastrini" sheetId="5" r:id="Ra6a56d224fca467d"/>
    <x:sheet xmlns:r="http://schemas.openxmlformats.org/officeDocument/2006/relationships" name="05_Margini_Ramo" sheetId="6" r:id="R2948c7d18cd2439a"/>
    <x:sheet xmlns:r="http://schemas.openxmlformats.org/officeDocument/2006/relationships" name="06_Mensile" sheetId="7" r:id="Ra21eadc4b86341d6"/>
    <x:sheet xmlns:r="http://schemas.openxmlformats.org/officeDocument/2006/relationships" name="07_Manodopera" sheetId="8" r:id="R58961c6d4f034e60"/>
    <x:sheet xmlns:r="http://schemas.openxmlformats.org/officeDocument/2006/relationships" name="08_Magazzino_Ricambi" sheetId="9" r:id="Rac556f14cc63442b"/>
    <x:sheet xmlns:r="http://schemas.openxmlformats.org/officeDocument/2006/relationships" name="09_Normalizzazioni" sheetId="10" r:id="Re3039be6fb0546f8"/>
    <x:sheet xmlns:r="http://schemas.openxmlformats.org/officeDocument/2006/relationships" name="10_Due_Diligence" sheetId="11" r:id="Ra1d799c04e414076"/>
    <x:sheet xmlns:r="http://schemas.openxmlformats.org/officeDocument/2006/relationships" name="11_Red_Flags" sheetId="12" r:id="R3a98ed9afca34429"/>
    <x:sheet xmlns:r="http://schemas.openxmlformats.org/officeDocument/2006/relationships" name="12_Richieste_Dati" sheetId="13" r:id="Re7650a8c6cee41b4"/>
    <x:sheet xmlns:r="http://schemas.openxmlformats.org/officeDocument/2006/relationships" name="13_Field_Checklist" sheetId="14" r:id="R3ffbef7f5bee48a5"/>
    <x:sheet xmlns:r="http://schemas.openxmlformats.org/officeDocument/2006/relationships" name="14_Valutazione" sheetId="15" r:id="R1a11500c152c4ac8"/>
    <x:sheet xmlns:r="http://schemas.openxmlformats.org/officeDocument/2006/relationships" name="15_Dizionario" sheetId="16" r:id="R5ea732d6f423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"/>
    <x:numFmt numFmtId="201" formatCode="0.0%"/>
    <x:numFmt numFmtId="202" formatCode="#,##0 €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0"/>
      <x:color rgb="FFFFFF"/>
      <x:name val="Aptos"/>
    </x:font>
    <x:font>
      <x:b/>
      <x:sz val="16"/>
      <x:color rgb="FFFFFF"/>
      <x:name val="Aptos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FCE4D6"/>
      </x:patternFill>
    </x:fill>
    <x:fill>
      <x:patternFill patternType="solid">
        <x:fgColor rgb="305496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1" fontId="2" fillId="2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2" fillId="2" borderId="0" xfId="0" applyNumberFormat="1" applyFont="1" applyFill="1" applyBorder="1" applyAlignment="1">
      <x:alignment horizontal="center" vertical="center" wrapText="1"/>
    </x:xf>
    <x:xf numFmtId="202" fontId="2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9C0006"/>
      </x:font>
      <x:fill>
        <x:patternFill patternType="solid">
          <x:bgColor rgb="FFC7CE"/>
        </x:patternFill>
      </x:fill>
    </x:dxf>
    <x:dxf>
      <x:font>
        <x:color rgb="9C0006"/>
      </x:font>
      <x:fill>
        <x:patternFill patternType="solid">
          <x:bgColor rgb="FFC7CE"/>
        </x:patternFill>
      </x:fill>
    </x:dxf>
    <x:dxf>
      <x:font>
        <x:b/>
        <x:color rgb="9C0006"/>
      </x:font>
      <x:fill>
        <x:patternFill patternType="solid">
          <x:bgColor rgb="FFC7CE"/>
        </x:patternFill>
      </x:fill>
    </x:dxf>
    <x:dxf>
      <x:font>
        <x:b/>
        <x:color rgb="9C0006"/>
      </x:font>
      <x:fill>
        <x:patternFill patternType="solid">
          <x:bgColor rgb="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8bfefcf0b4639" /><Relationship Type="http://schemas.openxmlformats.org/officeDocument/2006/relationships/theme" Target="/xl/theme/theme1.xml" Id="R607975fab0904bce" /><Relationship Type="http://schemas.openxmlformats.org/officeDocument/2006/relationships/sharedStrings" Target="/xl/sharedStrings.xml" Id="Ra64028e5f0a14089" /><Relationship Type="http://schemas.openxmlformats.org/officeDocument/2006/relationships/worksheet" Target="/xl/worksheets/sheet1.xml" Id="Rb5a75ca0bdc34683" /><Relationship Type="http://schemas.openxmlformats.org/officeDocument/2006/relationships/worksheet" Target="/xl/worksheets/sheet2.xml" Id="Raa93f6b783dc4508" /><Relationship Type="http://schemas.openxmlformats.org/officeDocument/2006/relationships/worksheet" Target="/xl/worksheets/sheet3.xml" Id="Ra921cf8f285649c3" /><Relationship Type="http://schemas.openxmlformats.org/officeDocument/2006/relationships/worksheet" Target="/xl/worksheets/sheet4.xml" Id="Rcc9bb8fb964d4eec" /><Relationship Type="http://schemas.openxmlformats.org/officeDocument/2006/relationships/worksheet" Target="/xl/worksheets/sheet5.xml" Id="Ra6a56d224fca467d" /><Relationship Type="http://schemas.openxmlformats.org/officeDocument/2006/relationships/worksheet" Target="/xl/worksheets/sheet6.xml" Id="R2948c7d18cd2439a" /><Relationship Type="http://schemas.openxmlformats.org/officeDocument/2006/relationships/worksheet" Target="/xl/worksheets/sheet7.xml" Id="Ra21eadc4b86341d6" /><Relationship Type="http://schemas.openxmlformats.org/officeDocument/2006/relationships/worksheet" Target="/xl/worksheets/sheet8.xml" Id="R58961c6d4f034e60" /><Relationship Type="http://schemas.openxmlformats.org/officeDocument/2006/relationships/worksheet" Target="/xl/worksheets/sheet9.xml" Id="Rac556f14cc63442b" /><Relationship Type="http://schemas.openxmlformats.org/officeDocument/2006/relationships/worksheet" Target="/xl/worksheets/sheet10.xml" Id="Re3039be6fb0546f8" /><Relationship Type="http://schemas.openxmlformats.org/officeDocument/2006/relationships/worksheet" Target="/xl/worksheets/sheet11.xml" Id="Ra1d799c04e414076" /><Relationship Type="http://schemas.openxmlformats.org/officeDocument/2006/relationships/worksheet" Target="/xl/worksheets/sheet12.xml" Id="R3a98ed9afca34429" /><Relationship Type="http://schemas.openxmlformats.org/officeDocument/2006/relationships/worksheet" Target="/xl/worksheets/sheet13.xml" Id="Re7650a8c6cee41b4" /><Relationship Type="http://schemas.openxmlformats.org/officeDocument/2006/relationships/worksheet" Target="/xl/worksheets/sheet14.xml" Id="R3ffbef7f5bee48a5" /><Relationship Type="http://schemas.openxmlformats.org/officeDocument/2006/relationships/worksheet" Target="/xl/worksheets/sheet15.xml" Id="R1a11500c152c4ac8" /><Relationship Type="http://schemas.openxmlformats.org/officeDocument/2006/relationships/worksheet" Target="/xl/worksheets/sheet16.xml" Id="R5ea732d6f42343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782e7a8818f48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5d92d4a3b4e4ce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Margini apparenti per famiglia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Codice ricavo</c:v>
          </c:tx>
          <c:cat>
            <c:strRef>
              <c:f>'05_Margini_Ramo'!$A$2:$A$17</c:f>
              <c:strCache>
                <c:ptCount val="0"/>
              </c:strCache>
            </c:strRef>
          </c:cat>
          <c:val>
            <c:numRef>
              <c:f>'05_Margini_Ramo'!$B$2:$B$17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Codice costo</c:v>
          </c:tx>
          <c:cat>
            <c:strRef>
              <c:f>'05_Margini_Ramo'!$A$2:$A$17</c:f>
              <c:strCache>
                <c:ptCount val="0"/>
              </c:strCache>
            </c:strRef>
          </c:cat>
          <c:val>
            <c:numRef>
              <c:f>'05_Margini_Ramo'!$C$2:$C$17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Ricavo netto</c:v>
          </c:tx>
          <c:cat>
            <c:strRef>
              <c:f>'05_Margini_Ramo'!$A$2:$A$17</c:f>
              <c:strCache>
                <c:ptCount val="0"/>
              </c:strCache>
            </c:strRef>
          </c:cat>
          <c:val>
            <c:numRef>
              <c:f>'05_Margini_Ramo'!$D$2:$D$17</c:f>
              <c:numCache>
                <c:formatCode/>
                <c:ptCount val="0"/>
              </c:numCache>
            </c:numRef>
          </c:val>
        </c:ser>
        <c:ser>
          <c:idx val="3"/>
          <c:order val="3"/>
          <c:tx>
            <c:v>Costo diretto/acquisto</c:v>
          </c:tx>
          <c:cat>
            <c:strRef>
              <c:f>'05_Margini_Ramo'!$A$2:$A$17</c:f>
              <c:strCache>
                <c:ptCount val="0"/>
              </c:strCache>
            </c:strRef>
          </c:cat>
          <c:val>
            <c:numRef>
              <c:f>'05_Margini_Ramo'!$E$2:$E$17</c:f>
              <c:numCache>
                <c:formatCode/>
                <c:ptCount val="0"/>
              </c:numCache>
            </c:numRef>
          </c:val>
        </c:ser>
        <c:ser>
          <c:idx val="4"/>
          <c:order val="4"/>
          <c:tx>
            <c:v>Margine apparente</c:v>
          </c:tx>
          <c:cat>
            <c:strRef>
              <c:f>'05_Margini_Ramo'!$A$2:$A$17</c:f>
              <c:strCache>
                <c:ptCount val="0"/>
              </c:strCache>
            </c:strRef>
          </c:cat>
          <c:val>
            <c:numRef>
              <c:f>'05_Margini_Ramo'!$F$2:$F$17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Andamento mensile: costi, ricavi, margine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Costi</c:v>
          </c:tx>
          <c:cat>
            <c:strRef>
              <c:f>'06_Mensile'!$A$2:$A$13</c:f>
              <c:strCache>
                <c:ptCount val="0"/>
              </c:strCache>
            </c:strRef>
          </c:cat>
          <c:val>
            <c:numRef>
              <c:f>'06_Mensile'!$B$2:$B$13</c:f>
              <c:numCache>
                <c:formatCode/>
                <c:ptCount val="0"/>
              </c:numCache>
            </c:numRef>
          </c:val>
        </c:ser>
        <c:ser>
          <c:idx val="1"/>
          <c:order val="1"/>
          <c:tx>
            <c:v>Ricavi</c:v>
          </c:tx>
          <c:cat>
            <c:strRef>
              <c:f>'06_Mensile'!$A$2:$A$13</c:f>
              <c:strCache>
                <c:ptCount val="0"/>
              </c:strCache>
            </c:strRef>
          </c:cat>
          <c:val>
            <c:numRef>
              <c:f>'06_Mensile'!$C$2:$C$13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Margine</c:v>
          </c:tx>
          <c:cat>
            <c:strRef>
              <c:f>'06_Mensile'!$A$2:$A$13</c:f>
              <c:strCache>
                <c:ptCount val="0"/>
              </c:strCache>
            </c:strRef>
          </c:cat>
          <c:val>
            <c:numRef>
              <c:f>'06_Mensile'!$D$2:$D$13</c:f>
              <c:numCache>
                <c:formatCode/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8</xdr:row>
      <xdr:rowOff>0</xdr:rowOff>
    </xdr:from>
    <xdr:to>
      <xdr:col>20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82e7a8818f483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7</xdr:col>
      <xdr:colOff>0</xdr:colOff>
      <xdr:row>1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5d92d4a3b4e4ce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ontiLimiti" displayName="FontiLimiti" ref="A1:D11" headerRowCount="1">
  <x:tableColumns count="4">
    <x:tableColumn id="1" name="Documento/File"/>
    <x:tableColumn id="2" name="Tipo"/>
    <x:tableColumn id="3" name="Utilizzo nell'analisi"/>
    <x:tableColumn id="4" name="Limite"/>
  </x:tableColumns>
  <x:tableStyleInfo name="TableStyleMedium2" showRowStripes="1"/>
</x:table>
</file>

<file path=xl/tables/table2.xml><?xml version="1.0" encoding="utf-8"?>
<x:table xmlns:x="http://schemas.openxmlformats.org/spreadsheetml/2006/main" id="2" name="BilanciSintesi" displayName="BilanciSintesi" ref="A1:H17" headerRowCount="1">
  <x:tableColumns count="8">
    <x:tableColumn id="1" name="Voce"/>
    <x:tableColumn id="2" name="2022"/>
    <x:tableColumn id="3" name="2023"/>
    <x:tableColumn id="4" name="2024"/>
    <x:tableColumn id="5" name="2025 BdV"/>
    <x:tableColumn id="6" name="Fonte/Nota"/>
    <x:tableColumn id="7" name="Delta 24 vs 23"/>
    <x:tableColumn id="8" name="% 24 vs 23"/>
  </x:tableColumns>
  <x:tableStyleInfo name="TableStyleMedium2" showRowStripes="1"/>
</x:table>
</file>

<file path=xl/tables/table3.xml><?xml version="1.0" encoding="utf-8"?>
<x:table xmlns:x="http://schemas.openxmlformats.org/spreadsheetml/2006/main" id="3" name="KPIOfficina" displayName="KPIOfficina" ref="A1:F10" headerRowCount="1">
  <x:tableColumns count="6">
    <x:tableColumn id="1" name="KPI"/>
    <x:tableColumn id="2" name="2025"/>
    <x:tableColumn id="3" name="2026 parziale"/>
    <x:tableColumn id="4" name="Nota"/>
    <x:tableColumn id="5" name="Delta assoluto"/>
    <x:tableColumn id="6" name="Delta %"/>
  </x:tableColumns>
  <x:tableStyleInfo name="TableStyleMedium2" showRowStripes="1"/>
</x:table>
</file>

<file path=xl/tables/table4.xml><?xml version="1.0" encoding="utf-8"?>
<x:table xmlns:x="http://schemas.openxmlformats.org/spreadsheetml/2006/main" id="4" name="Mastrini" displayName="Mastrini" ref="A1:F29" headerRowCount="1">
  <x:tableColumns count="6">
    <x:tableColumn id="1" name="Codice"/>
    <x:tableColumn id="2" name="Descrizione"/>
    <x:tableColumn id="3" name="Tipo"/>
    <x:tableColumn id="4" name="Importo netto"/>
    <x:tableColumn id="5" name="Nota"/>
    <x:tableColumn id="6" name="Rischio"/>
  </x:tableColumns>
  <x:tableStyleInfo name="TableStyleMedium2" showRowStripes="1"/>
</x:table>
</file>

<file path=xl/tables/table5.xml><?xml version="1.0" encoding="utf-8"?>
<x:table xmlns:x="http://schemas.openxmlformats.org/spreadsheetml/2006/main" id="5" name="MarginiRamo" displayName="MarginiRamo" ref="A1:J17" headerRowCount="1">
  <x:tableColumns count="10">
    <x:tableColumn id="1" name="Famiglia"/>
    <x:tableColumn id="2" name="Codice ricavo"/>
    <x:tableColumn id="3" name="Codice costo"/>
    <x:tableColumn id="4" name="Ricavo netto"/>
    <x:tableColumn id="5" name="Costo diretto/acquisto"/>
    <x:tableColumn id="6" name="Margine apparente"/>
    <x:tableColumn id="7" name="Margine %"/>
    <x:tableColumn id="8" name="Nota"/>
    <x:tableColumn id="9" name="Rischio"/>
    <x:tableColumn id="10" name="Trattamento consigliato"/>
  </x:tableColumns>
  <x:tableStyleInfo name="TableStyleMedium2" showRowStripes="1"/>
</x:table>
</file>

<file path=xl/tables/table6.xml><?xml version="1.0" encoding="utf-8"?>
<x:table xmlns:x="http://schemas.openxmlformats.org/spreadsheetml/2006/main" id="6" name="MensileRamo" displayName="MensileRamo" ref="A1:F13" headerRowCount="1">
  <x:tableColumns count="6">
    <x:tableColumn id="1" name="Mese"/>
    <x:tableColumn id="2" name="Costi"/>
    <x:tableColumn id="3" name="Ricavi"/>
    <x:tableColumn id="4" name="Margine"/>
    <x:tableColumn id="5" name="Margine %"/>
    <x:tableColumn id="6" name="Nota controllo"/>
  </x:tableColumns>
  <x:tableStyleInfo name="TableStyleMedium2" showRowStripes="1"/>
</x:table>
</file>

<file path=xl/tables/table7.xml><?xml version="1.0" encoding="utf-8"?>
<x:table xmlns:x="http://schemas.openxmlformats.org/spreadsheetml/2006/main" id="7" name="AnalisiManodopera" displayName="AnalisiManodopera" ref="A1:D12" headerRowCount="1">
  <x:tableColumns count="4">
    <x:tableColumn id="1" name="Voce"/>
    <x:tableColumn id="2" name="Dato/Formula"/>
    <x:tableColumn id="3" name="Valore"/>
    <x:tableColumn id="4" name="Nota"/>
  </x:tableColumns>
  <x:tableStyleInfo name="TableStyleMedium2" showRowStripes="1"/>
</x:table>
</file>

<file path=xl/tables/table8.xml><?xml version="1.0" encoding="utf-8"?>
<x:table xmlns:x="http://schemas.openxmlformats.org/spreadsheetml/2006/main" id="8" name="MagazzinoRicambi" displayName="MagazzinoRicambi" ref="A1:I13" headerRowCount="1">
  <x:tableColumns count="9">
    <x:tableColumn id="1" name="Famiglia"/>
    <x:tableColumn id="2" name="Ricavo mastrino"/>
    <x:tableColumn id="3" name="Acquisti/costi mastrino"/>
    <x:tableColumn id="4" name="Magazzino iniziale"/>
    <x:tableColumn id="5" name="Magazzino finale"/>
    <x:tableColumn id="6" name="Consumo reale"/>
    <x:tableColumn id="7" name="Margine normalizzato"/>
    <x:tableColumn id="8" name="Dato mancante chiave"/>
    <x:tableColumn id="9" name="Controllo campo"/>
  </x:tableColumns>
  <x:tableStyleInfo name="TableStyleMedium2" showRowStripes="1"/>
</x:table>
</file>

<file path=xl/tables/table9.xml><?xml version="1.0" encoding="utf-8"?>
<x:table xmlns:x="http://schemas.openxmlformats.org/spreadsheetml/2006/main" id="9" name="Normalizzazioni" displayName="Normalizzazioni" ref="A1:E11" headerRowCount="1">
  <x:tableColumns count="5">
    <x:tableColumn id="1" name="Rettifica/Normalizzazione"/>
    <x:tableColumn id="2" name="Impatto atteso"/>
    <x:tableColumn id="3" name="Dato necessario"/>
    <x:tableColumn id="4" name="Perché è critica"/>
    <x:tableColumn id="5" name="Priorità"/>
  </x:tableColumns>
  <x:tableStyleInfo name="TableStyleMedium2" showRowStripes="1"/>
</x:table>
</file>

<file path=xl/tables/table10.xml><?xml version="1.0" encoding="utf-8"?>
<x:table xmlns:x="http://schemas.openxmlformats.org/spreadsheetml/2006/main" id="10" name="DueDiligence" displayName="DueDiligence" ref="A1:F12" headerRowCount="1">
  <x:tableColumns count="6">
    <x:tableColumn id="1" name="Area"/>
    <x:tableColumn id="2" name="Domanda di verifica"/>
    <x:tableColumn id="3" name="Evidenza richiesta"/>
    <x:tableColumn id="4" name="Esito campo"/>
    <x:tableColumn id="5" name="Rischio se non dimostrato"/>
    <x:tableColumn id="6" name="Owner"/>
  </x:tableColumns>
  <x:tableStyleInfo name="TableStyleMedium2" showRowStripes="1"/>
</x:table>
</file>

<file path=xl/tables/table11.xml><?xml version="1.0" encoding="utf-8"?>
<x:table xmlns:x="http://schemas.openxmlformats.org/spreadsheetml/2006/main" id="11" name="RedFlags" displayName="RedFlags" ref="A1:D10" headerRowCount="1">
  <x:tableColumns count="4">
    <x:tableColumn id="1" name="Red flag"/>
    <x:tableColumn id="2" name="Evidenza nei dati"/>
    <x:tableColumn id="3" name="Impatto valutazione"/>
    <x:tableColumn id="4" name="Azione"/>
  </x:tableColumns>
  <x:tableStyleInfo name="TableStyleMedium2" showRowStripes="1"/>
</x:table>
</file>

<file path=xl/tables/table12.xml><?xml version="1.0" encoding="utf-8"?>
<x:table xmlns:x="http://schemas.openxmlformats.org/spreadsheetml/2006/main" id="12" name="RichiesteDati" displayName="RichiesteDati" ref="A1:E12" headerRowCount="1">
  <x:tableColumns count="5">
    <x:tableColumn id="1" name="Priorità"/>
    <x:tableColumn id="2" name="Dato richiesto"/>
    <x:tableColumn id="3" name="Formato richiesto"/>
    <x:tableColumn id="4" name="Motivo"/>
    <x:tableColumn id="5" name="Bloccante?"/>
  </x:tableColumns>
  <x:tableStyleInfo name="TableStyleMedium2" showRowStripes="1"/>
</x:table>
</file>

<file path=xl/tables/table13.xml><?xml version="1.0" encoding="utf-8"?>
<x:table xmlns:x="http://schemas.openxmlformats.org/spreadsheetml/2006/main" id="13" name="ChecklistCampo" displayName="ChecklistCampo" ref="A1:F14" headerRowCount="1">
  <x:tableColumns count="6">
    <x:tableColumn id="1" name="Area visita"/>
    <x:tableColumn id="2" name="Cosa guardare"/>
    <x:tableColumn id="3" name="Domanda sul campo"/>
    <x:tableColumn id="4" name="Evidenza/foto"/>
    <x:tableColumn id="5" name="Esito"/>
    <x:tableColumn id="6" name="Note"/>
  </x:tableColumns>
  <x:tableStyleInfo name="TableStyleMedium2" showRowStripes="1"/>
</x:table>
</file>

<file path=xl/tables/table14.xml><?xml version="1.0" encoding="utf-8"?>
<x:table xmlns:x="http://schemas.openxmlformats.org/spreadsheetml/2006/main" id="14" name="ValutazioneScenari" displayName="ValutazioneScenari" ref="A1:I6" headerRowCount="1">
  <x:tableColumns count="9">
    <x:tableColumn id="1" name="Scenario"/>
    <x:tableColumn id="2" name="Descrizione"/>
    <x:tableColumn id="3" name="Ricavi ramo"/>
    <x:tableColumn id="4" name="Costi diretti"/>
    <x:tableColumn id="5" name="Rettifiche stimate"/>
    <x:tableColumn id="6" name="Margine normalizzato"/>
    <x:tableColumn id="7" name="Multiplo indicativo"/>
    <x:tableColumn id="8" name="Valore indicativo"/>
    <x:tableColumn id="9" name="Attendibilità"/>
  </x:tableColumns>
  <x:tableStyleInfo name="TableStyleMedium2" showRowStripes="1"/>
</x:table>
</file>

<file path=xl/tables/table15.xml><?xml version="1.0" encoding="utf-8"?>
<x:table xmlns:x="http://schemas.openxmlformats.org/spreadsheetml/2006/main" id="15" name="Dizionario" displayName="Dizionario" ref="A1:B12" headerRowCount="1">
  <x:tableColumns count="2">
    <x:tableColumn id="1" name="Termine"/>
    <x:tableColumn id="2" name="Spiegazione operativ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840281043d48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2718fd54cf44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76aac9968a4d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0f8508f9984ad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ec2448004b6f4285" /><Relationship Type="http://schemas.openxmlformats.org/officeDocument/2006/relationships/table" Target="/xl/tables/table5.xml" Id="R1a40f27f1dcc4b9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2.xml" Id="R7f85f28c8b1b43c9" /><Relationship Type="http://schemas.openxmlformats.org/officeDocument/2006/relationships/table" Target="/xl/tables/table6.xml" Id="R03330bd22a8149d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01f7d4b4f6449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e360fa6aad4c5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188855d4860495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b98ebb769c294d8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4097ca43f8ae4e8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e7b4ad37b23143ed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edcb2c3e643448e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a2be440a31b4ec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6704bc1743a4903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 ht="28" customHeight="1">
      <x:c r="A1" s="25" t="str">
        <x:v>SUPER ANALISI VECTORYS NEXT / RAMO OFFICINA PER AMATI</x:v>
      </x:c>
      <x:c r="B1" s="12" t="str"/>
      <x:c r="C1" s="12" t="str"/>
      <x:c r="D1" s="12" t="str"/>
      <x:c r="E1" s="12" t="str"/>
      <x:c r="F1" s="12" t="str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Data file</x:v>
      </x:c>
      <x:c r="B2" t="str">
        <x:v>2026-05-11</x:v>
      </x:c>
      <x:c r="C2" t="str"/>
      <x:c r="D2" t="str"/>
      <x:c r="E2" t="str"/>
      <x:c r="F2" t="str"/>
    </x:row>
    <x:row r="3">
      <x:c r="A3" s="30" t="str">
        <x:v>Decisione sintetica</x:v>
      </x:c>
      <x:c r="B3" s="30" t="str">
        <x:v>Il ramo può essere interessante, ma oggi il valore è non difendibile senza riconciliazione ODL-personale-magazzino-clienti.</x:v>
      </x:c>
      <x:c r="C3" s="30" t="str"/>
      <x:c r="D3" s="30" t="str"/>
      <x:c r="E3" s="30" t="str"/>
      <x:c r="F3" s="30" t="str"/>
    </x:row>
    <x:row r="4">
      <x:c r="A4" t="str"/>
      <x:c r="B4" t="str"/>
      <x:c r="C4" t="str"/>
      <x:c r="D4" t="str"/>
      <x:c r="E4" t="str"/>
      <x:c r="F4" t="str"/>
    </x:row>
    <x:row r="5">
      <x:c r="A5" s="35" t="str">
        <x:v>KPI GREZZI RAMO</x:v>
      </x:c>
      <x:c r="B5" s="35" t="str">
        <x:v>Valore</x:v>
      </x:c>
      <x:c r="C5" s="35" t="str">
        <x:v>Lettura</x:v>
      </x:c>
      <x:c r="D5" s="35" t="str"/>
      <x:c r="E5" s="35" t="str">
        <x:v>PRIORITÀ FIELD</x:v>
      </x:c>
      <x:c r="F5" s="35" t="str">
        <x:v>Azione</x:v>
      </x:c>
    </x:row>
    <x:row r="6">
      <x:c r="A6" t="str">
        <x:v>Ricavi mastrini</x:v>
      </x:c>
      <x:c r="B6" s="22" t="n">
        <x:f>'05_Margini_Ramo'!$M$2</x:f>
        <x:v>1404022.7299999997</x:v>
      </x:c>
      <x:c r="C6" t="str">
        <x:v>Dato lordo da validare</x:v>
      </x:c>
      <x:c r="D6" t="str"/>
      <x:c r="E6" t="str">
        <x:v>1</x:v>
      </x:c>
      <x:c r="F6" t="str">
        <x:v>Validare gli 8 operai e le ore</x:v>
      </x:c>
    </x:row>
    <x:row r="7">
      <x:c r="A7" t="str">
        <x:v>Costi mastrini</x:v>
      </x:c>
      <x:c r="B7" s="22" t="n">
        <x:f>'05_Margini_Ramo'!$M$3</x:f>
        <x:v>1035662.6099999999</x:v>
      </x:c>
      <x:c r="C7" t="str">
        <x:v>Costi diretti/parziali</x:v>
      </x:c>
      <x:c r="D7" t="str"/>
      <x:c r="E7" t="str">
        <x:v>2</x:v>
      </x:c>
      <x:c r="F7" t="str">
        <x:v>Riconciliare pneumatici e magazzino</x:v>
      </x:c>
    </x:row>
    <x:row r="8">
      <x:c r="A8" t="str">
        <x:v>Margine apparente</x:v>
      </x:c>
      <x:c r="B8" s="22" t="n">
        <x:f>'05_Margini_Ramo'!$M$4</x:f>
        <x:v>368360.1199999999</x:v>
      </x:c>
      <x:c r="C8" t="str">
        <x:v>Non è EBITDA</x:v>
      </x:c>
      <x:c r="D8" t="str"/>
      <x:c r="E8" t="str">
        <x:v>3</x:v>
      </x:c>
      <x:c r="F8" t="str">
        <x:v>Verificare contratti ricavi post-affitto</x:v>
      </x:c>
    </x:row>
    <x:row r="9">
      <x:c r="A9" t="str">
        <x:v>Margine % apparente</x:v>
      </x:c>
      <x:c r="B9" s="22" t="n">
        <x:f>'05_Margini_Ramo'!$M$5</x:f>
        <x:v>0.2623605103601136</x:v>
      </x:c>
      <x:c r="C9" t="str">
        <x:v>Da normalizzare</x:v>
      </x:c>
      <x:c r="D9" t="str"/>
      <x:c r="E9" t="str">
        <x:v>4</x:v>
      </x:c>
      <x:c r="F9" t="str">
        <x:v>Elenco cespiti e attrezzature incluse</x:v>
      </x:c>
    </x:row>
    <x:row r="10">
      <x:c r="A10" t="str">
        <x:v>Ricavi manodopera</x:v>
      </x:c>
      <x:c r="B10" s="22" t="n">
        <x:v>659299.15</x:v>
      </x:c>
      <x:c r="C10" t="str">
        <x:v>Valore principale; rischio perimetro</x:v>
      </x:c>
      <x:c r="D10" t="str"/>
      <x:c r="E10" t="str">
        <x:v>5</x:v>
      </x:c>
      <x:c r="F10" t="str">
        <x:v>Controllare sistema ODL/ore/ricambi</x:v>
      </x:c>
    </x:row>
    <x:row r="11">
      <x:c r="A11" t="str">
        <x:v>Costo stipendi operai</x:v>
      </x:c>
      <x:c r="B11" s="22" t="n">
        <x:v>316047.87</x:v>
      </x:c>
      <x:c r="C11" t="str">
        <x:v>Non nominativo; non basta per business plan</x:v>
      </x:c>
      <x:c r="D11" t="str"/>
      <x:c r="E11" t="str">
        <x:v>6</x:v>
      </x:c>
      <x:c r="F11" t="str">
        <x:v>Chiarire costi esclusi dai mastrini</x:v>
      </x:c>
    </x:row>
    <x:row r="12">
      <x:c r="A12" t="str">
        <x:v>Pneumatici margine apparente</x:v>
      </x:c>
      <x:c r="B12" s="22" t="n">
        <x:v>-38213.19</x:v>
      </x:c>
      <x:c r="C12" t="str">
        <x:v>Area critica da magazzino</x:v>
      </x:c>
      <x:c r="D12" t="str"/>
      <x:c r="E12" t="str"/>
      <x:c r="F12" t="str"/>
    </x:row>
    <x:row r="13">
      <x:c r="A13" t="str">
        <x:v>Produttività officina 2025</x:v>
      </x:c>
      <x:c r="B13" s="18" t="n">
        <x:v>0.6654</x:v>
      </x:c>
      <x:c r="C13" t="str">
        <x:v>Dato dashboard</x:v>
      </x:c>
      <x:c r="D13" t="str"/>
      <x:c r="E13" t="str"/>
      <x:c r="F13" t="str"/>
    </x:row>
    <x:row r="14">
      <x:c r="A14" t="str">
        <x:v>Produttività 2026 parziale</x:v>
      </x:c>
      <x:c r="B14" s="18" t="n">
        <x:v>0.5696</x:v>
      </x:c>
      <x:c r="C14" t="str">
        <x:v>Peggioramento rilevante</x:v>
      </x:c>
      <x:c r="D14" t="str"/>
      <x:c r="E14" t="str"/>
      <x:c r="F14" t="str"/>
    </x:row>
    <x:row r="15">
      <x:c r="A15" t="str"/>
      <x:c r="B15" t="str"/>
      <x:c r="C15" t="str"/>
      <x:c r="D15" t="str"/>
      <x:c r="E15" t="str"/>
      <x:c r="F15" t="str"/>
    </x:row>
    <x:row r="16">
      <x:c r="A16" s="40" t="str">
        <x:v>CONCLUSIONE</x:v>
      </x:c>
      <x:c r="B16" s="40" t="str">
        <x:v>Non pagare/valorizzare su mastrini. Valorizzare solo dopo normalizzazione: 8 operai reali + ricavi contrattualizzati + consumo ricambi + asset inclusi.</x:v>
      </x:c>
      <x:c r="C16" s="40" t="str"/>
      <x:c r="D16" s="40" t="str"/>
      <x:c r="E16" s="40" t="str"/>
      <x:c r="F16" s="40" t="str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Documento/File</x:v>
      </x:c>
      <x:c r="B1" s="12" t="str">
        <x:v>Tipo</x:v>
      </x:c>
      <x:c r="C1" s="12" t="str">
        <x:v>Utilizzo nell'analisi</x:v>
      </x:c>
      <x:c r="D1" s="12" t="str">
        <x:v>Limite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SK contabili.7z</x:v>
      </x:c>
      <x:c r="B2" t="str">
        <x:v>28 mastrini Excel</x:v>
      </x:c>
      <x:c r="C2" t="str">
        <x:v>Ricavi/costi per famiglie officina ramo</x:v>
      </x:c>
      <x:c r="D2" t="str">
        <x:v>Archivio non direttamente normalizzato; alcune voci aggregate e non nominative</x:v>
      </x:c>
    </x:row>
    <x:row r="3">
      <x:c r="A3" t="str">
        <x:v>dati officina 2025.pdf</x:v>
      </x:c>
      <x:c r="B3" t="str">
        <x:v>Dashboard officina</x:v>
      </x:c>
      <x:c r="C3" t="str">
        <x:v>KPI interventi, MTBF, MTTR, produttività, costo interventi</x:v>
      </x:c>
      <x:c r="D3" t="str">
        <x:v>Screenshot/dashboard; non auditabile senza export sorgente</x:v>
      </x:c>
    </x:row>
    <x:row r="4">
      <x:c r="A4" t="str">
        <x:v>dati officina 2026.pdf</x:v>
      </x:c>
      <x:c r="B4" t="str">
        <x:v>Dashboard officina</x:v>
      </x:c>
      <x:c r="C4" t="str">
        <x:v>KPI 2026 parziale</x:v>
      </x:c>
      <x:c r="D4" t="str">
        <x:v>Periodo presumibilmente gennaio-marzo, non full year</x:v>
      </x:c>
    </x:row>
    <x:row r="5">
      <x:c r="A5" t="str">
        <x:v>Bilancio XBRL 2024.DOCX</x:v>
      </x:c>
      <x:c r="B5" t="str">
        <x:v>Bilancio civilistico</x:v>
      </x:c>
      <x:c r="C5" t="str">
        <x:v>Trend aziendale 2022-2024</x:v>
      </x:c>
      <x:c r="D5" t="str">
        <x:v>Aggregato società, non ramo</x:v>
      </x:c>
    </x:row>
    <x:row r="6">
      <x:c r="A6" t="str">
        <x:v>NEXT - Bilancio XBRL 2023.DOCX</x:v>
      </x:c>
      <x:c r="B6" t="str">
        <x:v>Bilancio civilistico</x:v>
      </x:c>
      <x:c r="C6" t="str">
        <x:v>Trend 2022-2023</x:v>
      </x:c>
      <x:c r="D6" t="str">
        <x:v>Aggregato società, non ramo</x:v>
      </x:c>
    </x:row>
    <x:row r="7">
      <x:c r="A7" t="str">
        <x:v>Bilancio di verifica al 31 12 2025.xlsx / PDF</x:v>
      </x:c>
      <x:c r="B7" t="str">
        <x:v>Bilancio di verifica</x:v>
      </x:c>
      <x:c r="C7" t="str">
        <x:v>Dettagli 2025, rimanenze, acquisti, costi</x:v>
      </x:c>
      <x:c r="D7" t="str">
        <x:v>Non necessariamente già rettificato per ramo</x:v>
      </x:c>
    </x:row>
    <x:row r="8">
      <x:c r="A8" t="str">
        <x:v>ELENCO FORNITORI.xlsx</x:v>
      </x:c>
      <x:c r="B8" t="str">
        <x:v>Anagrafica fornitori</x:v>
      </x:c>
      <x:c r="C8" t="str">
        <x:v>Base potenziale per concentrazione e negoziazione</x:v>
      </x:c>
      <x:c r="D8" t="str">
        <x:v>Da collegare agli acquisti reali</x:v>
      </x:c>
    </x:row>
    <x:row r="9">
      <x:c r="A9" t="str">
        <x:v>PREZZI 2025 CR. VECTORYS.xlsx</x:v>
      </x:c>
      <x:c r="B9" t="str">
        <x:v>Prezzi/listini</x:v>
      </x:c>
      <x:c r="C9" t="str">
        <x:v>Base prezzi ricambi</x:v>
      </x:c>
      <x:c r="D9" t="str">
        <x:v>Serve storico consumi per calcolare margine</x:v>
      </x:c>
    </x:row>
    <x:row r="10">
      <x:c r="A10" t="str">
        <x:v>Listino Maurelli.pdf / listino Wurth.pdf</x:v>
      </x:c>
      <x:c r="B10" t="str">
        <x:v>Listini</x:v>
      </x:c>
      <x:c r="C10" t="str">
        <x:v>Confronto prezzi</x:v>
      </x:c>
      <x:c r="D10" t="str">
        <x:v>Prezzi non bastano senza quantità, sconti e consumi</x:v>
      </x:c>
    </x:row>
    <x:row r="11">
      <x:c r="A11" t="str">
        <x:v>accordo Dierre 2026.pdf</x:v>
      </x:c>
      <x:c r="B11" t="str">
        <x:v>Accordo fornitore</x:v>
      </x:c>
      <x:c r="C11" t="str">
        <x:v>Premio 4%-6% su soglie acquisto</x:v>
      </x:c>
      <x:c r="D11" t="str">
        <x:v>Da verificare acquisti effettivi e maturazione premio</x:v>
      </x:c>
    </x:row>
  </x:sheetData>
  <x:pageMargins left="0.7" right="0.7" top="0.75" bottom="0.75" header="0.3" footer="0.3"/>
  <x:tableParts count="1">
    <x:tablePart xmlns:r="http://schemas.openxmlformats.org/officeDocument/2006/relationships" r:id="R79840281043d487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Voce</x:v>
      </x:c>
      <x:c r="B1" s="20" t="str">
        <x:v>2022</x:v>
      </x:c>
      <x:c r="C1" s="20" t="str">
        <x:v>2023</x:v>
      </x:c>
      <x:c r="D1" s="20" t="str">
        <x:v>2024</x:v>
      </x:c>
      <x:c r="E1" s="20" t="str">
        <x:v>2025 BdV</x:v>
      </x:c>
      <x:c r="F1" s="20" t="str">
        <x:v>Fonte/Nota</x:v>
      </x:c>
      <x:c r="G1" s="20" t="str">
        <x:v>Delta 24 vs 23</x:v>
      </x:c>
      <x:c r="H1" s="16" t="str">
        <x:v>% 24 vs 23</x:v>
      </x:c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Valore della produzione</x:v>
      </x:c>
      <x:c r="B2" t="n">
        <x:v>2432259</x:v>
      </x:c>
      <x:c r="C2" t="n">
        <x:v>2799851</x:v>
      </x:c>
      <x:c r="D2" t="n">
        <x:v>2815943</x:v>
      </x:c>
      <x:c r="E2"/>
      <x:c r="F2" t="str">
        <x:v>2024 XBRL</x:v>
      </x:c>
      <x:c r="G2" t="n">
        <x:f>D2-C2</x:f>
        <x:v>16092</x:v>
      </x:c>
      <x:c r="H2" t="n">
        <x:f>IFERROR(G2/C2,"")</x:f>
        <x:v>0.005747448703520295</x:v>
      </x:c>
    </x:row>
    <x:row r="3">
      <x:c r="A3" t="str">
        <x:v>Ricavi vendite/prestazioni</x:v>
      </x:c>
      <x:c r="B3" t="n">
        <x:v>2012835</x:v>
      </x:c>
      <x:c r="C3" t="n">
        <x:v>1894772</x:v>
      </x:c>
      <x:c r="D3" t="n">
        <x:v>1984940</x:v>
      </x:c>
      <x:c r="E3"/>
      <x:c r="F3" t="str">
        <x:v>2024 XBRL</x:v>
      </x:c>
      <x:c r="G3" t="n">
        <x:f>D3-C3</x:f>
        <x:v>90168</x:v>
      </x:c>
      <x:c r="H3" t="n">
        <x:f>IFERROR(G3/C3,"")</x:f>
        <x:v>0.047587783648903405</x:v>
      </x:c>
    </x:row>
    <x:row r="4">
      <x:c r="A4" t="str">
        <x:v>Altri ricavi e proventi</x:v>
      </x:c>
      <x:c r="B4" t="n">
        <x:v>419424</x:v>
      </x:c>
      <x:c r="C4" t="n">
        <x:v>905079</x:v>
      </x:c>
      <x:c r="D4" t="n">
        <x:v>831003</x:v>
      </x:c>
      <x:c r="E4"/>
      <x:c r="F4" t="str">
        <x:v>2024 XBRL</x:v>
      </x:c>
      <x:c r="G4" t="n">
        <x:f>D4-C4</x:f>
        <x:v>-74076</x:v>
      </x:c>
      <x:c r="H4" t="n">
        <x:f>IFERROR(G4/C4,"")</x:f>
        <x:v>-0.08184478923939237</x:v>
      </x:c>
    </x:row>
    <x:row r="5">
      <x:c r="A5" t="str">
        <x:v>Costi della produzione</x:v>
      </x:c>
      <x:c r="B5" t="n">
        <x:v>2487755</x:v>
      </x:c>
      <x:c r="C5" t="n">
        <x:v>2689892</x:v>
      </x:c>
      <x:c r="D5" t="n">
        <x:v>2705201</x:v>
      </x:c>
      <x:c r="E5" t="n">
        <x:v>2265131.59</x:v>
      </x:c>
      <x:c r="F5" t="str">
        <x:v>2024 XBRL + BdV 2025 parziale</x:v>
      </x:c>
      <x:c r="G5" t="n">
        <x:f>D5-C5</x:f>
        <x:v>15309</x:v>
      </x:c>
      <x:c r="H5" t="n">
        <x:f>IFERROR(G5/C5,"")</x:f>
        <x:v>0.005691306565468056</x:v>
      </x:c>
    </x:row>
    <x:row r="6">
      <x:c r="A6" t="str">
        <x:v>Materie prime/merci</x:v>
      </x:c>
      <x:c r="B6" t="n">
        <x:v>1054711</x:v>
      </x:c>
      <x:c r="C6" t="n">
        <x:v>826601</x:v>
      </x:c>
      <x:c r="D6" t="n">
        <x:v>864519</x:v>
      </x:c>
      <x:c r="E6" t="n">
        <x:v>734785.11</x:v>
      </x:c>
      <x:c r="F6" t="str">
        <x:v>2024 XBRL + BdV 2025</x:v>
      </x:c>
      <x:c r="G6" t="n">
        <x:f>D6-C6</x:f>
        <x:v>37918</x:v>
      </x:c>
      <x:c r="H6" t="n">
        <x:f>IFERROR(G6/C6,"")</x:f>
        <x:v>0.045872192266885714</x:v>
      </x:c>
    </x:row>
    <x:row r="7">
      <x:c r="A7" t="str">
        <x:v>Servizi</x:v>
      </x:c>
      <x:c r="B7" t="n">
        <x:v>301590</x:v>
      </x:c>
      <x:c r="C7" t="n">
        <x:v>361503</x:v>
      </x:c>
      <x:c r="D7" t="n">
        <x:v>310495</x:v>
      </x:c>
      <x:c r="E7" t="n">
        <x:v>306434.72</x:v>
      </x:c>
      <x:c r="F7" t="str">
        <x:v>2024 XBRL + BdV 2025</x:v>
      </x:c>
      <x:c r="G7" t="n">
        <x:f>D7-C7</x:f>
        <x:v>-51008</x:v>
      </x:c>
      <x:c r="H7" t="n">
        <x:f>IFERROR(G7/C7,"")</x:f>
        <x:v>-0.14109979723543095</x:v>
      </x:c>
    </x:row>
    <x:row r="8">
      <x:c r="A8" t="str">
        <x:v>Godimento beni terzi</x:v>
      </x:c>
      <x:c r="B8" t="n">
        <x:v>695891</x:v>
      </x:c>
      <x:c r="C8" t="n">
        <x:v>712502</x:v>
      </x:c>
      <x:c r="D8" t="n">
        <x:v>642147</x:v>
      </x:c>
      <x:c r="E8"/>
      <x:c r="F8" t="str">
        <x:v>2024 XBRL</x:v>
      </x:c>
      <x:c r="G8" t="n">
        <x:f>D8-C8</x:f>
        <x:v>-70355</x:v>
      </x:c>
      <x:c r="H8" t="n">
        <x:f>IFERROR(G8/C8,"")</x:f>
        <x:v>-0.09874358247415446</x:v>
      </x:c>
    </x:row>
    <x:row r="9">
      <x:c r="A9" t="str">
        <x:v>Personale</x:v>
      </x:c>
      <x:c r="B9" t="n">
        <x:v>522296</x:v>
      </x:c>
      <x:c r="C9" t="n">
        <x:v>692273</x:v>
      </x:c>
      <x:c r="D9" t="n">
        <x:v>757695</x:v>
      </x:c>
      <x:c r="E9"/>
      <x:c r="F9" t="str">
        <x:v>2024 XBRL</x:v>
      </x:c>
      <x:c r="G9" t="n">
        <x:f>D9-C9</x:f>
        <x:v>65422</x:v>
      </x:c>
      <x:c r="H9" t="n">
        <x:f>IFERROR(G9/C9,"")</x:f>
        <x:v>0.09450318010380299</x:v>
      </x:c>
    </x:row>
    <x:row r="10">
      <x:c r="A10" t="str">
        <x:v>Ammortamenti/svalutazioni</x:v>
      </x:c>
      <x:c r="B10" t="n">
        <x:v>143184</x:v>
      </x:c>
      <x:c r="C10" t="n">
        <x:v>131929</x:v>
      </x:c>
      <x:c r="D10" t="n">
        <x:v>83613</x:v>
      </x:c>
      <x:c r="E10"/>
      <x:c r="F10" t="str">
        <x:v>2024 XBRL</x:v>
      </x:c>
      <x:c r="G10" t="n">
        <x:f>D10-C10</x:f>
        <x:v>-48316</x:v>
      </x:c>
      <x:c r="H10" t="n">
        <x:f>IFERROR(G10/C10,"")</x:f>
        <x:v>-0.3662272889205557</x:v>
      </x:c>
    </x:row>
    <x:row r="11">
      <x:c r="A11" t="str">
        <x:v>Margine operativo civilistico A-B</x:v>
      </x:c>
      <x:c r="B11" t="n">
        <x:v>-55496</x:v>
      </x:c>
      <x:c r="C11" t="n">
        <x:v>109959</x:v>
      </x:c>
      <x:c r="D11" t="n">
        <x:v>110742</x:v>
      </x:c>
      <x:c r="E11"/>
      <x:c r="F11" t="str">
        <x:v>2024 XBRL</x:v>
      </x:c>
      <x:c r="G11" t="n">
        <x:f>D11-C11</x:f>
        <x:v>783</x:v>
      </x:c>
      <x:c r="H11" t="n">
        <x:f>IFERROR(G11/C11,"")</x:f>
        <x:v>0.007120835947944233</x:v>
      </x:c>
    </x:row>
    <x:row r="12">
      <x:c r="A12" t="str">
        <x:v>Risultato ante imposte</x:v>
      </x:c>
      <x:c r="B12" t="n">
        <x:v>-55512</x:v>
      </x:c>
      <x:c r="C12" t="n">
        <x:v>109553</x:v>
      </x:c>
      <x:c r="D12" t="n">
        <x:v>115848</x:v>
      </x:c>
      <x:c r="E12"/>
      <x:c r="F12" t="str">
        <x:v>2024 XBRL</x:v>
      </x:c>
      <x:c r="G12" t="n">
        <x:f>D12-C12</x:f>
        <x:v>6295</x:v>
      </x:c>
      <x:c r="H12" t="n">
        <x:f>IFERROR(G12/C12,"")</x:f>
        <x:v>0.05746077241152684</x:v>
      </x:c>
    </x:row>
    <x:row r="13">
      <x:c r="A13" t="str">
        <x:v>Utile/perdita esercizio</x:v>
      </x:c>
      <x:c r="B13" t="n">
        <x:v>-38925</x:v>
      </x:c>
      <x:c r="C13" t="n">
        <x:v>75892</x:v>
      </x:c>
      <x:c r="D13" t="n">
        <x:v>82527</x:v>
      </x:c>
      <x:c r="E13"/>
      <x:c r="F13" t="str">
        <x:v>2024 XBRL</x:v>
      </x:c>
      <x:c r="G13" t="n">
        <x:f>D13-C13</x:f>
        <x:v>6635</x:v>
      </x:c>
      <x:c r="H13" t="n">
        <x:f>IFERROR(G13/C13,"")</x:f>
        <x:v>0.08742686976229379</x:v>
      </x:c>
    </x:row>
    <x:row r="14">
      <x:c r="A14" t="str">
        <x:v>Patrimonio netto</x:v>
      </x:c>
      <x:c r="B14" t="n">
        <x:v>412358</x:v>
      </x:c>
      <x:c r="C14" t="n">
        <x:v>488249</x:v>
      </x:c>
      <x:c r="D14" t="n">
        <x:v>570776</x:v>
      </x:c>
      <x:c r="E14" t="n">
        <x:v>570776.25</x:v>
      </x:c>
      <x:c r="F14" t="str">
        <x:v>2024 XBRL + BdV 2025</x:v>
      </x:c>
      <x:c r="G14" t="n">
        <x:f>D14-C14</x:f>
        <x:v>82527</x:v>
      </x:c>
      <x:c r="H14" t="n">
        <x:f>IFERROR(G14/C14,"")</x:f>
        <x:v>0.1690264598596208</x:v>
      </x:c>
    </x:row>
    <x:row r="15">
      <x:c r="A15" t="str">
        <x:v>Debiti</x:v>
      </x:c>
      <x:c r="B15" t="n">
        <x:v>1012690</x:v>
      </x:c>
      <x:c r="C15" t="n">
        <x:v>1001086</x:v>
      </x:c>
      <x:c r="D15" t="n">
        <x:v>1266554</x:v>
      </x:c>
      <x:c r="E15" t="n">
        <x:v>843757.71</x:v>
      </x:c>
      <x:c r="F15" t="str">
        <x:v>2024 XBRL + BdV 2025</x:v>
      </x:c>
      <x:c r="G15" t="n">
        <x:f>D15-C15</x:f>
        <x:v>265468</x:v>
      </x:c>
      <x:c r="H15" t="n">
        <x:f>IFERROR(G15/C15,"")</x:f>
        <x:v>0.2651800145042484</x:v>
      </x:c>
    </x:row>
    <x:row r="16">
      <x:c r="A16" t="str">
        <x:v>Rimanenze</x:v>
      </x:c>
      <x:c r="B16" t="n">
        <x:v>235023</x:v>
      </x:c>
      <x:c r="C16" t="n">
        <x:v>279852</x:v>
      </x:c>
      <x:c r="D16" t="n">
        <x:v>255969</x:v>
      </x:c>
      <x:c r="E16" t="n">
        <x:v>172511.63</x:v>
      </x:c>
      <x:c r="F16" t="str">
        <x:v>2024 XBRL + BdV 2025</x:v>
      </x:c>
      <x:c r="G16" t="n">
        <x:f>D16-C16</x:f>
        <x:v>-23883</x:v>
      </x:c>
      <x:c r="H16" t="n">
        <x:f>IFERROR(G16/C16,"")</x:f>
        <x:v>-0.08534153766991123</x:v>
      </x:c>
    </x:row>
    <x:row r="17">
      <x:c r="A17" t="str">
        <x:v>Disponibilità liquide</x:v>
      </x:c>
      <x:c r="B17" t="n">
        <x:v>85926</x:v>
      </x:c>
      <x:c r="C17" t="n">
        <x:v>91812</x:v>
      </x:c>
      <x:c r="D17" t="n">
        <x:v>95642</x:v>
      </x:c>
      <x:c r="E17" t="n">
        <x:v>82780.28</x:v>
      </x:c>
      <x:c r="F17" t="str">
        <x:v>2024 XBRL + BdV 2025</x:v>
      </x:c>
      <x:c r="G17" t="n">
        <x:f>D17-C17</x:f>
        <x:v>3830</x:v>
      </x:c>
      <x:c r="H17" t="n">
        <x:f>IFERROR(G17/C17,"")</x:f>
        <x:v>0.04171567986755544</x:v>
      </x:c>
    </x:row>
  </x:sheetData>
  <x:pageMargins left="0.7" right="0.7" top="0.75" bottom="0.75" header="0.3" footer="0.3"/>
  <x:tableParts count="1">
    <x:tablePart xmlns:r="http://schemas.openxmlformats.org/officeDocument/2006/relationships" r:id="R312718fd54cf445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KPI</x:v>
      </x:c>
      <x:c r="B1" s="14" t="str">
        <x:v>2025</x:v>
      </x:c>
      <x:c r="C1" s="14" t="str">
        <x:v>2026 parziale</x:v>
      </x:c>
      <x:c r="D1" s="14" t="str">
        <x:v>Nota</x:v>
      </x:c>
      <x:c r="E1" s="14" t="str">
        <x:v>Delta assoluto</x:v>
      </x:c>
      <x:c r="F1" s="16" t="str">
        <x:v>Delta %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Interventi</x:v>
      </x:c>
      <x:c r="B2" t="n">
        <x:v>3749</x:v>
      </x:c>
      <x:c r="C2" t="n">
        <x:v>915</x:v>
      </x:c>
      <x:c r="D2" t="str">
        <x:v>2026 sembra parziale Q1; non confrontare con full year</x:v>
      </x:c>
      <x:c r="E2" t="n">
        <x:f>IFERROR(C2-B2,"")</x:f>
        <x:v>-2834</x:v>
      </x:c>
      <x:c r="F2" t="n">
        <x:f>IFERROR(E2/B2,"")</x:f>
        <x:v>-0.755934915977594</x:v>
      </x:c>
    </x:row>
    <x:row r="3">
      <x:c r="A3" t="str">
        <x:v>MTBF giorni</x:v>
      </x:c>
      <x:c r="B3" t="n">
        <x:v>51</x:v>
      </x:c>
      <x:c r="C3" t="n">
        <x:v>49</x:v>
      </x:c>
      <x:c r="D3" t="str">
        <x:v>Leggero peggioramento affidabilità mezzi</x:v>
      </x:c>
      <x:c r="E3" t="n">
        <x:f>IFERROR(C3-B3,"")</x:f>
        <x:v>-2</x:v>
      </x:c>
      <x:c r="F3" t="n">
        <x:f>IFERROR(E3/B3,"")</x:f>
        <x:v>-0.0392156862745098</x:v>
      </x:c>
    </x:row>
    <x:row r="4">
      <x:c r="A4" t="str">
        <x:v>MTTR giorni</x:v>
      </x:c>
      <x:c r="B4" t="n">
        <x:v>1</x:v>
      </x:c>
      <x:c r="C4" t="n">
        <x:v>1</x:v>
      </x:c>
      <x:c r="D4" t="str">
        <x:v>Stabile, ma serve dettaglio fermi reali</x:v>
      </x:c>
      <x:c r="E4" t="n">
        <x:f>IFERROR(C4-B4,"")</x:f>
        <x:v>0</x:v>
      </x:c>
      <x:c r="F4" t="n">
        <x:f>IFERROR(E4/B4,"")</x:f>
        <x:v>0</x:v>
      </x:c>
    </x:row>
    <x:row r="5">
      <x:c r="A5" t="str">
        <x:v>Costo interventi</x:v>
      </x:c>
      <x:c r="B5" t="n">
        <x:v>1190522</x:v>
      </x:c>
      <x:c r="C5" t="n">
        <x:v>238488</x:v>
      </x:c>
      <x:c r="D5" t="str">
        <x:v>2026 parziale; costo esterno zero da verificare</x:v>
      </x:c>
      <x:c r="E5" t="n">
        <x:f>IFERROR(C5-B5,"")</x:f>
        <x:v>-952034</x:v>
      </x:c>
      <x:c r="F5" t="n">
        <x:f>IFERROR(E5/B5,"")</x:f>
        <x:v>-0.7996777883987024</x:v>
      </x:c>
    </x:row>
    <x:row r="6">
      <x:c r="A6" t="str">
        <x:v>Costo officina</x:v>
      </x:c>
      <x:c r="B6" t="n">
        <x:v>1173014</x:v>
      </x:c>
      <x:c r="C6" t="n">
        <x:v>238488</x:v>
      </x:c>
      <x:c r="D6" t="str">
        <x:v>Dato interno</x:v>
      </x:c>
      <x:c r="E6" t="n">
        <x:f>IFERROR(C6-B6,"")</x:f>
        <x:v>-934526</x:v>
      </x:c>
      <x:c r="F6" t="n">
        <x:f>IFERROR(E6/B6,"")</x:f>
        <x:v>-0.7966878485678773</x:v>
      </x:c>
    </x:row>
    <x:row r="7">
      <x:c r="A7" t="str">
        <x:v>Costo esterno</x:v>
      </x:c>
      <x:c r="B7" t="n">
        <x:v>17508</x:v>
      </x:c>
      <x:c r="C7" t="n">
        <x:v>0</x:v>
      </x:c>
      <x:c r="D7" t="str">
        <x:v>Assenza costo esterno 2026 sospetta / periodo breve</x:v>
      </x:c>
      <x:c r="E7" t="n">
        <x:f>IFERROR(C7-B7,"")</x:f>
        <x:v>-17508</x:v>
      </x:c>
      <x:c r="F7" t="n">
        <x:f>IFERROR(E7/B7,"")</x:f>
        <x:v>-1</x:v>
      </x:c>
    </x:row>
    <x:row r="8">
      <x:c r="A8" t="str">
        <x:v>Costo medio intervento</x:v>
      </x:c>
      <x:c r="B8" t="n">
        <x:v>318</x:v>
      </x:c>
      <x:c r="C8" t="n">
        <x:v>261</x:v>
      </x:c>
      <x:c r="D8" t="str">
        <x:v>Riduzione apparente; rischio registrazioni incomplete</x:v>
      </x:c>
      <x:c r="E8" t="n">
        <x:f>IFERROR(C8-B8,"")</x:f>
        <x:v>-57</x:v>
      </x:c>
      <x:c r="F8" t="n">
        <x:f>IFERROR(E8/B8,"")</x:f>
        <x:v>-0.1792452830188679</x:v>
      </x:c>
    </x:row>
    <x:row r="9">
      <x:c r="A9" t="str">
        <x:v>Costo medio esterno</x:v>
      </x:c>
      <x:c r="B9" t="n">
        <x:v>1167</x:v>
      </x:c>
      <x:c r="C9"/>
      <x:c r="D9" t="str">
        <x:v>N/D 2026</x:v>
      </x:c>
      <x:c r="E9" t="n">
        <x:f>IFERROR(C9-B9,"")</x:f>
        <x:v>-1167</x:v>
      </x:c>
      <x:c r="F9" t="n">
        <x:f>IFERROR(E9/B9,"")</x:f>
        <x:v>-1</x:v>
      </x:c>
    </x:row>
    <x:row r="10">
      <x:c r="A10" t="str">
        <x:v>Produttività</x:v>
      </x:c>
      <x:c r="B10" t="n">
        <x:v>0.6654</x:v>
      </x:c>
      <x:c r="C10" t="n">
        <x:v>0.5696</x:v>
      </x:c>
      <x:c r="D10" t="str">
        <x:v>Peggioramento rilevante</x:v>
      </x:c>
      <x:c r="E10" t="n">
        <x:f>IFERROR(C10-B10,"")</x:f>
        <x:v>-0.0958</x:v>
      </x:c>
      <x:c r="F10" t="n">
        <x:f>IFERROR(E10/B10,"")</x:f>
        <x:v>-0.14397354974451457</x:v>
      </x:c>
    </x:row>
  </x:sheetData>
  <x:pageMargins left="0.7" right="0.7" top="0.75" bottom="0.75" header="0.3" footer="0.3"/>
  <x:tableParts count="1">
    <x:tablePart xmlns:r="http://schemas.openxmlformats.org/officeDocument/2006/relationships" r:id="R4d76aac9968a4dc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Codice</x:v>
      </x:c>
      <x:c r="B1" s="14" t="str">
        <x:v>Descrizione</x:v>
      </x:c>
      <x:c r="C1" s="14" t="str">
        <x:v>Tipo</x:v>
      </x:c>
      <x:c r="D1" s="20" t="str">
        <x:v>Importo netto</x:v>
      </x:c>
      <x:c r="E1" s="14" t="str">
        <x:v>Nota</x:v>
      </x:c>
      <x:c r="F1" s="14" t="str">
        <x:v>Rischio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411615</x:v>
      </x:c>
      <x:c r="B2" t="str">
        <x:v>Manodopera ricavo</x:v>
      </x:c>
      <x:c r="C2" t="str">
        <x:v>Ricavo</x:v>
      </x:c>
      <x:c r="D2" t="n">
        <x:v>659299.15</x:v>
      </x:c>
      <x:c r="E2" t="str">
        <x:v>Ricavo principale; va collegato agli 8 operai e ore fatturate</x:v>
      </x:c>
      <x:c r="F2" t="str">
        <x:v>Alta</x:v>
      </x:c>
    </x:row>
    <x:row r="3">
      <x:c r="A3" t="str">
        <x:v>411613</x:v>
      </x:c>
      <x:c r="B3" t="str">
        <x:v>Pneumatici ricavo</x:v>
      </x:c>
      <x:c r="C3" t="str">
        <x:v>Ricavo</x:v>
      </x:c>
      <x:c r="D3" t="n">
        <x:v>312556.83</x:v>
      </x:c>
      <x:c r="E3" t="str">
        <x:v>Da collegare a consumi reali e magazzino</x:v>
      </x:c>
      <x:c r="F3" t="str">
        <x:v>Alta</x:v>
      </x:c>
    </x:row>
    <x:row r="4">
      <x:c r="A4" t="str">
        <x:v>411608</x:v>
      </x:c>
      <x:c r="B4" t="str">
        <x:v>Sollevatori ricavo</x:v>
      </x:c>
      <x:c r="C4" t="str">
        <x:v>Ricavo</x:v>
      </x:c>
      <x:c r="D4" t="n">
        <x:v>101143.69</x:v>
      </x:c>
      <x:c r="E4" t="str">
        <x:v>Ricavo positivo, ma chiarire natura sollevatori</x:v>
      </x:c>
      <x:c r="F4" t="str">
        <x:v>Media</x:v>
      </x:c>
    </x:row>
    <x:row r="5">
      <x:c r="A5" t="str">
        <x:v>411611</x:v>
      </x:c>
      <x:c r="B5" t="str">
        <x:v>Carrozzeria ricavo</x:v>
      </x:c>
      <x:c r="C5" t="str">
        <x:v>Ricavo</x:v>
      </x:c>
      <x:c r="D5" t="n">
        <x:v>98977.73</x:v>
      </x:c>
      <x:c r="E5" t="str">
        <x:v>Distinguere lavori ordinari e sinistri</x:v>
      </x:c>
      <x:c r="F5" t="str">
        <x:v>Media</x:v>
      </x:c>
    </x:row>
    <x:row r="6">
      <x:c r="A6" t="str">
        <x:v>411605</x:v>
      </x:c>
      <x:c r="B6" t="str">
        <x:v>Freni ricavo</x:v>
      </x:c>
      <x:c r="C6" t="str">
        <x:v>Ricavo</x:v>
      </x:c>
      <x:c r="D6" t="n">
        <x:v>83500.65</x:v>
      </x:c>
      <x:c r="E6" t="str">
        <x:v>Da riconciliare con interventi/targhe</x:v>
      </x:c>
      <x:c r="F6" t="str">
        <x:v>Media</x:v>
      </x:c>
    </x:row>
    <x:row r="7">
      <x:c r="A7" t="str">
        <x:v>411606</x:v>
      </x:c>
      <x:c r="B7" t="str">
        <x:v>Sospensioni ricavo</x:v>
      </x:c>
      <x:c r="C7" t="str">
        <x:v>Ricavo</x:v>
      </x:c>
      <x:c r="D7" t="n">
        <x:v>68796.25</x:v>
      </x:c>
      <x:c r="E7" t="str">
        <x:v>Da collegare a ricorrenze mezzo</x:v>
      </x:c>
      <x:c r="F7" t="str">
        <x:v>Media</x:v>
      </x:c>
    </x:row>
    <x:row r="8">
      <x:c r="A8" t="str">
        <x:v>411612</x:v>
      </x:c>
      <x:c r="B8" t="str">
        <x:v>Consumabili ricavo</x:v>
      </x:c>
      <x:c r="C8" t="str">
        <x:v>Ricavo</x:v>
      </x:c>
      <x:c r="D8" t="n">
        <x:v>29086.73</x:v>
      </x:c>
      <x:c r="E8" t="str">
        <x:v>Verificare forfait o addebito puntuale</x:v>
      </x:c>
      <x:c r="F8" t="str">
        <x:v>Media</x:v>
      </x:c>
    </x:row>
    <x:row r="9">
      <x:c r="A9" t="str">
        <x:v>411607</x:v>
      </x:c>
      <x:c r="B9" t="str">
        <x:v>Segnaletica ricavo</x:v>
      </x:c>
      <x:c r="C9" t="str">
        <x:v>Ricavo</x:v>
      </x:c>
      <x:c r="D9" t="n">
        <x:v>16271.69</x:v>
      </x:c>
      <x:c r="E9" t="str">
        <x:v>Possibile ricavo non ricorrente</x:v>
      </x:c>
      <x:c r="F9" t="str">
        <x:v>Media</x:v>
      </x:c>
    </x:row>
    <x:row r="10">
      <x:c r="A10" t="str">
        <x:v>411604</x:v>
      </x:c>
      <x:c r="B10" t="str">
        <x:v>Elettricità ricavo</x:v>
      </x:c>
      <x:c r="C10" t="str">
        <x:v>Ricavo</x:v>
      </x:c>
      <x:c r="D10" t="n">
        <x:v>14970.12</x:v>
      </x:c>
      <x:c r="E10" t="str">
        <x:v>Chiarire contenuto</x:v>
      </x:c>
      <x:c r="F10" t="str">
        <x:v>Media</x:v>
      </x:c>
    </x:row>
    <x:row r="11">
      <x:c r="A11" t="str">
        <x:v>411614</x:v>
      </x:c>
      <x:c r="B11" t="str">
        <x:v>Vernici ricavo</x:v>
      </x:c>
      <x:c r="C11" t="str">
        <x:v>Ricavo</x:v>
      </x:c>
      <x:c r="D11" t="n">
        <x:v>9505.98</x:v>
      </x:c>
      <x:c r="E11" t="str">
        <x:v>Leggere con carrozzeria</x:v>
      </x:c>
      <x:c r="F11" t="str">
        <x:v>Media</x:v>
      </x:c>
    </x:row>
    <x:row r="12">
      <x:c r="A12" t="str">
        <x:v>411619</x:v>
      </x:c>
      <x:c r="B12" t="str">
        <x:v>Altri merci/prodotti finiti ricavo</x:v>
      </x:c>
      <x:c r="C12" t="str">
        <x:v>Ricavo</x:v>
      </x:c>
      <x:c r="D12" t="n">
        <x:v>7000</x:v>
      </x:c>
      <x:c r="E12" t="str">
        <x:v>Probabile una tantum; da escludere da run-rate se non ricorrente</x:v>
      </x:c>
      <x:c r="F12" t="str">
        <x:v>Alta</x:v>
      </x:c>
    </x:row>
    <x:row r="13">
      <x:c r="A13" t="str">
        <x:v>411609</x:v>
      </x:c>
      <x:c r="B13" t="str">
        <x:v>Valvole ricavo</x:v>
      </x:c>
      <x:c r="C13" t="str">
        <x:v>Ricavo</x:v>
      </x:c>
      <x:c r="D13" t="n">
        <x:v>2553.71</x:v>
      </x:c>
      <x:c r="E13" t="str">
        <x:v>Collegare a famiglie tecniche</x:v>
      </x:c>
      <x:c r="F13" t="str">
        <x:v>Bassa</x:v>
      </x:c>
    </x:row>
    <x:row r="14">
      <x:c r="A14" t="str">
        <x:v>411610</x:v>
      </x:c>
      <x:c r="B14" t="str">
        <x:v>Meccanica ricavo</x:v>
      </x:c>
      <x:c r="C14" t="str">
        <x:v>Ricavo</x:v>
      </x:c>
      <x:c r="D14" t="n">
        <x:v>276.2</x:v>
      </x:c>
      <x:c r="E14" t="str">
        <x:v>Anomalia contro costo 10.408,50</x:v>
      </x:c>
      <x:c r="F14" t="str">
        <x:v>Alta</x:v>
      </x:c>
    </x:row>
    <x:row r="15">
      <x:c r="A15" t="str">
        <x:v>411616</x:v>
      </x:c>
      <x:c r="B15" t="str">
        <x:v>Soccorso ricavo</x:v>
      </x:c>
      <x:c r="C15" t="str">
        <x:v>Ricavo</x:v>
      </x:c>
      <x:c r="D15" t="n">
        <x:v>84</x:v>
      </x:c>
      <x:c r="E15" t="str">
        <x:v>Irrilevante salvo contratto futuro</x:v>
      </x:c>
      <x:c r="F15" t="str">
        <x:v>Bassa</x:v>
      </x:c>
    </x:row>
    <x:row r="16">
      <x:c r="A16" t="str">
        <x:v>321202</x:v>
      </x:c>
      <x:c r="B16" t="str">
        <x:v>Pneumatici</x:v>
      </x:c>
      <x:c r="C16" t="str">
        <x:v>Costo</x:v>
      </x:c>
      <x:c r="D16" t="n">
        <x:v>350770.02</x:v>
      </x:c>
      <x:c r="E16" t="str">
        <x:v>Voce critica: acquisti &gt; ricavi prima di rettifica magazzino</x:v>
      </x:c>
      <x:c r="F16" t="str">
        <x:v>Alta</x:v>
      </x:c>
    </x:row>
    <x:row r="17">
      <x:c r="A17" t="str">
        <x:v>321205</x:v>
      </x:c>
      <x:c r="B17" t="str">
        <x:v>Sollevatori</x:v>
      </x:c>
      <x:c r="C17" t="str">
        <x:v>Costo</x:v>
      </x:c>
      <x:c r="D17" t="n">
        <x:v>88663.2</x:v>
      </x:c>
      <x:c r="E17" t="str">
        <x:v>Verificare se ricambi montati o beni strumentali</x:v>
      </x:c>
      <x:c r="F17" t="str">
        <x:v>Media</x:v>
      </x:c>
    </x:row>
    <x:row r="18">
      <x:c r="A18" t="str">
        <x:v>321215</x:v>
      </x:c>
      <x:c r="B18" t="str">
        <x:v>Carrozzeria</x:v>
      </x:c>
      <x:c r="C18" t="str">
        <x:v>Costo</x:v>
      </x:c>
      <x:c r="D18" t="n">
        <x:v>83001.82</x:v>
      </x:c>
      <x:c r="E18" t="str">
        <x:v>Distinguere ordinario/sinistri/una tantum</x:v>
      </x:c>
      <x:c r="F18" t="str">
        <x:v>Media</x:v>
      </x:c>
    </x:row>
    <x:row r="19">
      <x:c r="A19" t="str">
        <x:v>321209</x:v>
      </x:c>
      <x:c r="B19" t="str">
        <x:v>Freni</x:v>
      </x:c>
      <x:c r="C19" t="str">
        <x:v>Costo</x:v>
      </x:c>
      <x:c r="D19" t="n">
        <x:v>63065.97</x:v>
      </x:c>
      <x:c r="E19" t="str">
        <x:v>Margine positivo apparente; verificare scarico magazzino</x:v>
      </x:c>
      <x:c r="F19" t="str">
        <x:v>Media</x:v>
      </x:c>
    </x:row>
    <x:row r="20">
      <x:c r="A20" t="str">
        <x:v>321206</x:v>
      </x:c>
      <x:c r="B20" t="str">
        <x:v>Sospensioni e soffioni</x:v>
      </x:c>
      <x:c r="C20" t="str">
        <x:v>Costo</x:v>
      </x:c>
      <x:c r="D20" t="n">
        <x:v>60634.49</x:v>
      </x:c>
      <x:c r="E20" t="str">
        <x:v>Verificare ricorrenza per mezzo/targa</x:v>
      </x:c>
      <x:c r="F20" t="str">
        <x:v>Media</x:v>
      </x:c>
    </x:row>
    <x:row r="21">
      <x:c r="A21" t="str">
        <x:v>321216</x:v>
      </x:c>
      <x:c r="B21" t="str">
        <x:v>Consumabili</x:v>
      </x:c>
      <x:c r="C21" t="str">
        <x:v>Costo</x:v>
      </x:c>
      <x:c r="D21" t="n">
        <x:v>21814.45</x:v>
      </x:c>
      <x:c r="E21" t="str">
        <x:v>Costo generale diretto; riaddebito/forfait da verificare</x:v>
      </x:c>
      <x:c r="F21" t="str">
        <x:v>Media</x:v>
      </x:c>
    </x:row>
    <x:row r="22">
      <x:c r="A22" t="str">
        <x:v>321212</x:v>
      </x:c>
      <x:c r="B22" t="str">
        <x:v>Segnaletica</x:v>
      </x:c>
      <x:c r="C22" t="str">
        <x:v>Costo</x:v>
      </x:c>
      <x:c r="D22" t="n">
        <x:v>15886.9</x:v>
      </x:c>
      <x:c r="E22" t="str">
        <x:v>Possibile componente non ricorrente/allestimenti</x:v>
      </x:c>
      <x:c r="F22" t="str">
        <x:v>Media</x:v>
      </x:c>
    </x:row>
    <x:row r="23">
      <x:c r="A23" t="str">
        <x:v>321214</x:v>
      </x:c>
      <x:c r="B23" t="str">
        <x:v>Meccanica</x:v>
      </x:c>
      <x:c r="C23" t="str">
        <x:v>Costo</x:v>
      </x:c>
      <x:c r="D23" t="n">
        <x:v>10408.5</x:v>
      </x:c>
      <x:c r="E23" t="str">
        <x:v>Anomalia: ricavo quasi nullo</x:v>
      </x:c>
      <x:c r="F23" t="str">
        <x:v>Alta</x:v>
      </x:c>
    </x:row>
    <x:row r="24">
      <x:c r="A24" t="str">
        <x:v>321217</x:v>
      </x:c>
      <x:c r="B24" t="str">
        <x:v>Vernici</x:v>
      </x:c>
      <x:c r="C24" t="str">
        <x:v>Costo</x:v>
      </x:c>
      <x:c r="D24" t="n">
        <x:v>8647.73</x:v>
      </x:c>
      <x:c r="E24" t="str">
        <x:v>Da leggere insieme a carrozzeria</x:v>
      </x:c>
      <x:c r="F24" t="str">
        <x:v>Media</x:v>
      </x:c>
    </x:row>
    <x:row r="25">
      <x:c r="A25" t="str">
        <x:v>321208</x:v>
      </x:c>
      <x:c r="B25" t="str">
        <x:v>Elettricità</x:v>
      </x:c>
      <x:c r="C25" t="str">
        <x:v>Costo</x:v>
      </x:c>
      <x:c r="D25" t="n">
        <x:v>7555.51</x:v>
      </x:c>
      <x:c r="E25" t="str">
        <x:v>Verificare materiale ricambio vs costo energia/diagnostica</x:v>
      </x:c>
      <x:c r="F25" t="str">
        <x:v>Media</x:v>
      </x:c>
    </x:row>
    <x:row r="26">
      <x:c r="A26" t="str">
        <x:v>321203</x:v>
      </x:c>
      <x:c r="B26" t="str">
        <x:v>Materiale vario attività</x:v>
      </x:c>
      <x:c r="C26" t="str">
        <x:v>Costo</x:v>
      </x:c>
      <x:c r="D26" t="n">
        <x:v>6198.55</x:v>
      </x:c>
      <x:c r="E26" t="str">
        <x:v>Conto generico: verificare pertinenza AMATI</x:v>
      </x:c>
      <x:c r="F26" t="str">
        <x:v>Alta</x:v>
      </x:c>
    </x:row>
    <x:row r="27">
      <x:c r="A27" t="str">
        <x:v>321213</x:v>
      </x:c>
      <x:c r="B27" t="str">
        <x:v>Valvole</x:v>
      </x:c>
      <x:c r="C27" t="str">
        <x:v>Costo</x:v>
      </x:c>
      <x:c r="D27" t="n">
        <x:v>2141.6</x:v>
      </x:c>
      <x:c r="E27" t="str">
        <x:v>Collegare a freni/sospensioni</x:v>
      </x:c>
      <x:c r="F27" t="str">
        <x:v>Bassa</x:v>
      </x:c>
    </x:row>
    <x:row r="28">
      <x:c r="A28" t="str">
        <x:v>321210</x:v>
      </x:c>
      <x:c r="B28" t="str">
        <x:v>Indumenti di lavoro</x:v>
      </x:c>
      <x:c r="C28" t="str">
        <x:v>Costo</x:v>
      </x:c>
      <x:c r="D28" t="n">
        <x:v>826</x:v>
      </x:c>
      <x:c r="E28" t="str">
        <x:v>Pertinente solo se relativo agli 8 operai</x:v>
      </x:c>
      <x:c r="F28" t="str">
        <x:v>Media</x:v>
      </x:c>
    </x:row>
    <x:row r="29">
      <x:c r="A29" t="str">
        <x:v>324103</x:v>
      </x:c>
      <x:c r="B29" t="str">
        <x:v>Stipendi operai</x:v>
      </x:c>
      <x:c r="C29" t="str">
        <x:v>Costo</x:v>
      </x:c>
      <x:c r="D29" t="n">
        <x:v>316047.87</x:v>
      </x:c>
      <x:c r="E29" t="str">
        <x:v>Dato non nominativo; rischio include operai non trasferiti</x:v>
      </x:c>
      <x:c r="F29" t="str">
        <x:v>Alta</x:v>
      </x:c>
    </x:row>
  </x:sheetData>
  <x:conditionalFormatting sqref="F2:F29">
    <x:cfRule type="expression" dxfId="2" priority="1">
      <x:formula>F2="Alta"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0f8508f9984ad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Famiglia</x:v>
      </x:c>
      <x:c r="B1" s="14" t="str">
        <x:v>Codice ricavo</x:v>
      </x:c>
      <x:c r="C1" s="14" t="str">
        <x:v>Codice costo</x:v>
      </x:c>
      <x:c r="D1" s="20" t="str">
        <x:v>Ricavo netto</x:v>
      </x:c>
      <x:c r="E1" s="20" t="str">
        <x:v>Costo diretto/acquisto</x:v>
      </x:c>
      <x:c r="F1" s="20" t="str">
        <x:v>Margine apparente</x:v>
      </x:c>
      <x:c r="G1" s="16" t="str">
        <x:v>Margine %</x:v>
      </x:c>
      <x:c r="H1" s="14" t="str">
        <x:v>Nota</x:v>
      </x:c>
      <x:c r="I1" s="14" t="str">
        <x:v>Rischio</x:v>
      </x:c>
      <x:c r="J1" s="14" t="str">
        <x:v>Trattamento consigliato</x:v>
      </x:c>
      <x:c r="K1" s="14"/>
      <x:c r="L1" s="14" t="str">
        <x:v>Sintesi economica apparente</x:v>
      </x:c>
      <x:c r="M1" s="14" t="str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Manodopera</x:v>
      </x:c>
      <x:c r="B2" t="n">
        <x:f>SUM(D2:D17)</x:f>
        <x:v>1404022.7299999997</x:v>
      </x:c>
      <x:c r="C2" t="str">
        <x:v>324103</x:v>
      </x:c>
      <x:c r="D2" t="n">
        <x:v>659299.15</x:v>
      </x:c>
      <x:c r="E2" t="n">
        <x:v>316047.87</x:v>
      </x:c>
      <x:c r="F2" t="n">
        <x:f>D2-E2</x:f>
        <x:v>343251.28</x:v>
      </x:c>
      <x:c r="G2" t="n">
        <x:f>IFERROR(F2/D2,"")</x:f>
        <x:v>0.5206305513968886</x:v>
      </x:c>
      <x:c r="H2" t="str">
        <x:v>Costo solo stipendi; manca costo pieno 8 operai</x:v>
      </x:c>
      <x:c r="I2" t="str">
        <x:v>ALTA</x:v>
      </x:c>
      <x:c r="J2" t="str">
        <x:v>Ricalcolare solo su 8 operai e costo pieno futuro</x:v>
      </x:c>
      <x:c r="L2" t="str">
        <x:v>Ricavi mastrini</x:v>
      </x:c>
      <x:c r="M2" s="22" t="n">
        <x:f>SUM(D2:D17)</x:f>
        <x:v>1404022.7299999997</x:v>
      </x:c>
    </x:row>
    <x:row r="3">
      <x:c r="A3" t="str">
        <x:v>Pneumatici</x:v>
      </x:c>
      <x:c r="B3" t="n">
        <x:f>SUM(E2:E17)</x:f>
        <x:v>1035662.6099999999</x:v>
      </x:c>
      <x:c r="C3" t="str">
        <x:v>321202</x:v>
      </x:c>
      <x:c r="D3" t="n">
        <x:v>312556.83</x:v>
      </x:c>
      <x:c r="E3" t="n">
        <x:v>350770.02</x:v>
      </x:c>
      <x:c r="F3" t="n">
        <x:f>D3-E3</x:f>
        <x:v>-38213.19</x:v>
      </x:c>
      <x:c r="G3" t="n">
        <x:f>IFERROR(F3/D3,"")</x:f>
        <x:v>-0.1222599742901155</x:v>
      </x:c>
      <x:c r="H3" t="str">
        <x:v>Perdita apparente. Serve magazzino iniziale/finale e gomme per targa</x:v>
      </x:c>
      <x:c r="I3" t="str">
        <x:v>ALTA</x:v>
      </x:c>
      <x:c r="J3" t="str">
        <x:v>Ricalcolare con magazzino iniziale/finale e gomme per targa</x:v>
      </x:c>
      <x:c r="L3" t="str">
        <x:v>Costi mastrini</x:v>
      </x:c>
      <x:c r="M3" s="22" t="n">
        <x:f>SUM(E2:E17)</x:f>
        <x:v>1035662.6099999999</x:v>
      </x:c>
    </x:row>
    <x:row r="4">
      <x:c r="A4" t="str">
        <x:v>Sollevatori</x:v>
      </x:c>
      <x:c r="B4" t="n">
        <x:f>B2-B3</x:f>
        <x:v>368360.1199999999</x:v>
      </x:c>
      <x:c r="C4" t="str">
        <x:v>321205</x:v>
      </x:c>
      <x:c r="D4" t="n">
        <x:v>101143.69</x:v>
      </x:c>
      <x:c r="E4" t="n">
        <x:v>88663.2</x:v>
      </x:c>
      <x:c r="F4" t="n">
        <x:f>D4-E4</x:f>
        <x:v>12480.490000000005</x:v>
      </x:c>
      <x:c r="G4" t="n">
        <x:f>IFERROR(F4/D4,"")</x:f>
        <x:v>0.12339365906068886</x:v>
      </x:c>
      <x:c r="H4" t="str">
        <x:v>Chiarire se ricambio o attrezzatura</x:v>
      </x:c>
      <x:c r="I4" t="str">
        <x:v>MEDIA</x:v>
      </x:c>
      <x:c r="J4" t="str">
        <x:v>Da normalizzare</x:v>
      </x:c>
      <x:c r="L4" t="str">
        <x:v>Margine apparente</x:v>
      </x:c>
      <x:c r="M4" s="22" t="n">
        <x:f>M2-M3</x:f>
        <x:v>368360.1199999999</x:v>
      </x:c>
    </x:row>
    <x:row r="5">
      <x:c r="A5" t="str">
        <x:v>Carrozzeria</x:v>
      </x:c>
      <x:c r="B5" t="n">
        <x:f>IFERROR(B4/B2,"")</x:f>
        <x:v>0.2623605103601136</x:v>
      </x:c>
      <x:c r="C5" t="str">
        <x:v>321215</x:v>
      </x:c>
      <x:c r="D5" t="n">
        <x:v>98977.73</x:v>
      </x:c>
      <x:c r="E5" t="n">
        <x:v>83001.82</x:v>
      </x:c>
      <x:c r="F5" t="n">
        <x:f>D5-E5</x:f>
        <x:v>15975.909999999989</x:v>
      </x:c>
      <x:c r="G5" t="n">
        <x:f>IFERROR(F5/D5,"")</x:f>
        <x:v>0.16140913718671857</x:v>
      </x:c>
      <x:c r="H5" t="str">
        <x:v>Separare ordinario/sinistri</x:v>
      </x:c>
      <x:c r="I5" t="str">
        <x:v>MEDIA</x:v>
      </x:c>
      <x:c r="J5" t="str">
        <x:v>Da normalizzare</x:v>
      </x:c>
      <x:c r="L5" t="str">
        <x:v>Margine % apparente</x:v>
      </x:c>
      <x:c r="M5" s="18" t="n">
        <x:f>IFERROR(M4/M2,"")</x:f>
        <x:v>0.2623605103601136</x:v>
      </x:c>
    </x:row>
    <x:row r="6">
      <x:c r="A6" t="str">
        <x:v>Freni</x:v>
      </x:c>
      <x:c r="B6" t="str">
        <x:v>411605</x:v>
      </x:c>
      <x:c r="C6" t="str">
        <x:v>321209</x:v>
      </x:c>
      <x:c r="D6" t="n">
        <x:v>83500.65</x:v>
      </x:c>
      <x:c r="E6" t="n">
        <x:v>63065.97</x:v>
      </x:c>
      <x:c r="F6" t="n">
        <x:f>D6-E6</x:f>
        <x:v>20434.679999999993</x:v>
      </x:c>
      <x:c r="G6" t="n">
        <x:f>IFERROR(F6/D6,"")</x:f>
        <x:v>0.24472480154346096</x:v>
      </x:c>
      <x:c r="H6" t="str">
        <x:v>Verificare scarico magazzino e rework</x:v>
      </x:c>
      <x:c r="I6" t="str">
        <x:v>MEDIA</x:v>
      </x:c>
      <x:c r="J6" t="str">
        <x:v>Da normalizzare</x:v>
      </x:c>
      <x:c r="L6" t="str">
        <x:v>Nota</x:v>
      </x:c>
      <x:c r="M6" t="str">
        <x:v>Non è EBITDA: manca normalizzazione personale, magazzino, costi generali e continuità ricavi.</x:v>
      </x:c>
    </x:row>
    <x:row r="7">
      <x:c r="A7" t="str">
        <x:v>Sospensioni</x:v>
      </x:c>
      <x:c r="B7" t="str">
        <x:v>411606</x:v>
      </x:c>
      <x:c r="C7" t="str">
        <x:v>321206</x:v>
      </x:c>
      <x:c r="D7" t="n">
        <x:v>68796.25</x:v>
      </x:c>
      <x:c r="E7" t="n">
        <x:v>60634.49</x:v>
      </x:c>
      <x:c r="F7" t="n">
        <x:f>D7-E7</x:f>
        <x:v>8161.760000000002</x:v>
      </x:c>
      <x:c r="G7" t="n">
        <x:f>IFERROR(F7/D7,"")</x:f>
        <x:v>0.11863669894798048</x:v>
      </x:c>
      <x:c r="H7" t="str">
        <x:v>Analisi ricorrenza guasti per mezzo</x:v>
      </x:c>
      <x:c r="I7" t="str">
        <x:v>MEDIA</x:v>
      </x:c>
      <x:c r="J7" t="str">
        <x:v>Da normalizzare</x:v>
      </x:c>
    </x:row>
    <x:row r="8">
      <x:c r="A8" t="str">
        <x:v>Consumabili</x:v>
      </x:c>
      <x:c r="B8" t="str">
        <x:v>411612</x:v>
      </x:c>
      <x:c r="C8" t="str">
        <x:v>321216</x:v>
      </x:c>
      <x:c r="D8" t="n">
        <x:v>29086.73</x:v>
      </x:c>
      <x:c r="E8" t="n">
        <x:v>21814.45</x:v>
      </x:c>
      <x:c r="F8" t="n">
        <x:f>D8-E8</x:f>
        <x:v>7272.279999999999</x:v>
      </x:c>
      <x:c r="G8" t="n">
        <x:f>IFERROR(F8/D8,"")</x:f>
        <x:v>0.2500205420134886</x:v>
      </x:c>
      <x:c r="H8" t="str">
        <x:v>Costo generale diretto; criterio riaddebito</x:v>
      </x:c>
      <x:c r="I8" t="str">
        <x:v>MEDIA</x:v>
      </x:c>
      <x:c r="J8" t="str">
        <x:v>Da normalizzare</x:v>
      </x:c>
    </x:row>
    <x:row r="9">
      <x:c r="A9" t="str">
        <x:v>Segnaletica</x:v>
      </x:c>
      <x:c r="B9" t="str">
        <x:v>411607</x:v>
      </x:c>
      <x:c r="C9" t="str">
        <x:v>321212</x:v>
      </x:c>
      <x:c r="D9" t="n">
        <x:v>16271.69</x:v>
      </x:c>
      <x:c r="E9" t="n">
        <x:v>15886.9</x:v>
      </x:c>
      <x:c r="F9" t="n">
        <x:f>D9-E9</x:f>
        <x:v>384.7900000000009</x:v>
      </x:c>
      <x:c r="G9" t="n">
        <x:f>IFERROR(F9/D9,"")</x:f>
        <x:v>0.02364782023256348</x:v>
      </x:c>
      <x:c r="H9" t="str">
        <x:v>Possibile una tantum/allestimenti</x:v>
      </x:c>
      <x:c r="I9" t="str">
        <x:v>MEDIA</x:v>
      </x:c>
      <x:c r="J9" t="str">
        <x:v>Da normalizzare</x:v>
      </x:c>
    </x:row>
    <x:row r="10">
      <x:c r="A10" t="str">
        <x:v>Elettricità/elettrico</x:v>
      </x:c>
      <x:c r="B10" t="str">
        <x:v>411604</x:v>
      </x:c>
      <x:c r="C10" t="str">
        <x:v>321208</x:v>
      </x:c>
      <x:c r="D10" t="n">
        <x:v>14970.12</x:v>
      </x:c>
      <x:c r="E10" t="n">
        <x:v>7555.51</x:v>
      </x:c>
      <x:c r="F10" t="n">
        <x:f>D10-E10</x:f>
        <x:v>7414.610000000001</x:v>
      </x:c>
      <x:c r="G10" t="n">
        <x:f>IFERROR(F10/D10,"")</x:f>
        <x:v>0.4952939588994611</x:v>
      </x:c>
      <x:c r="H10" t="str">
        <x:v>Verificare classificazione</x:v>
      </x:c>
      <x:c r="I10" t="str">
        <x:v>MEDIA</x:v>
      </x:c>
      <x:c r="J10" t="str">
        <x:v>Da normalizzare</x:v>
      </x:c>
    </x:row>
    <x:row r="11">
      <x:c r="A11" t="str">
        <x:v>Vernici</x:v>
      </x:c>
      <x:c r="B11" t="str">
        <x:v>411614</x:v>
      </x:c>
      <x:c r="C11" t="str">
        <x:v>321217</x:v>
      </x:c>
      <x:c r="D11" t="n">
        <x:v>9505.98</x:v>
      </x:c>
      <x:c r="E11" t="n">
        <x:v>8647.73</x:v>
      </x:c>
      <x:c r="F11" t="n">
        <x:f>D11-E11</x:f>
        <x:v>858.25</x:v>
      </x:c>
      <x:c r="G11" t="n">
        <x:f>IFERROR(F11/D11,"")</x:f>
        <x:v>0.09028527305969505</x:v>
      </x:c>
      <x:c r="H11" t="str">
        <x:v>Da leggere con carrozzeria</x:v>
      </x:c>
      <x:c r="I11" t="str">
        <x:v>MEDIA</x:v>
      </x:c>
      <x:c r="J11" t="str">
        <x:v>Da normalizzare</x:v>
      </x:c>
    </x:row>
    <x:row r="12">
      <x:c r="A12" t="str">
        <x:v>Valvole</x:v>
      </x:c>
      <x:c r="B12" t="str">
        <x:v>411609</x:v>
      </x:c>
      <x:c r="C12" t="str">
        <x:v>321213</x:v>
      </x:c>
      <x:c r="D12" t="n">
        <x:v>2553.71</x:v>
      </x:c>
      <x:c r="E12" t="n">
        <x:v>2141.6</x:v>
      </x:c>
      <x:c r="F12" t="n">
        <x:f>D12-E12</x:f>
        <x:v>412.1100000000001</x:v>
      </x:c>
      <x:c r="G12" t="n">
        <x:f>IFERROR(F12/D12,"")</x:f>
        <x:v>0.16137697702558243</x:v>
      </x:c>
      <x:c r="H12" t="str">
        <x:v>Collegare a freni/sospensioni</x:v>
      </x:c>
      <x:c r="I12" t="str">
        <x:v>BASSA</x:v>
      </x:c>
      <x:c r="J12" t="str">
        <x:v>Usare con cautela</x:v>
      </x:c>
    </x:row>
    <x:row r="13">
      <x:c r="A13" t="str">
        <x:v>Meccanica</x:v>
      </x:c>
      <x:c r="B13" t="str">
        <x:v>411610</x:v>
      </x:c>
      <x:c r="C13" t="str">
        <x:v>321214</x:v>
      </x:c>
      <x:c r="D13" t="n">
        <x:v>276.2</x:v>
      </x:c>
      <x:c r="E13" t="n">
        <x:v>10408.5</x:v>
      </x:c>
      <x:c r="F13" t="n">
        <x:f>D13-E13</x:f>
        <x:v>-10132.3</x:v>
      </x:c>
      <x:c r="G13" t="n">
        <x:f>IFERROR(F13/D13,"")</x:f>
        <x:v>-36.68464880521361</x:v>
      </x:c>
      <x:c r="H13" t="str">
        <x:v>Anomalia: costo non coperto da ricavo</x:v>
      </x:c>
      <x:c r="I13" t="str">
        <x:v>ALTA</x:v>
      </x:c>
      <x:c r="J13" t="str">
        <x:v>Non valorizzare senza dettaglio</x:v>
      </x:c>
    </x:row>
    <x:row r="14">
      <x:c r="A14" t="str">
        <x:v>Materiale vario</x:v>
      </x:c>
      <x:c r="B14" t="str"/>
      <x:c r="C14" t="str">
        <x:v>321203</x:v>
      </x:c>
      <x:c r="D14" t="n">
        <x:v>0</x:v>
      </x:c>
      <x:c r="E14" t="n">
        <x:v>6198.55</x:v>
      </x:c>
      <x:c r="F14" t="n">
        <x:f>D14-E14</x:f>
        <x:v>-6198.55</x:v>
      </x:c>
      <x:c r="G14" t="str">
        <x:f>IFERROR(F14/D14,"")</x:f>
      </x:c>
      <x:c r="H14" t="str">
        <x:v>Conto generico; costo non sempre ricorrente/pertinente</x:v>
      </x:c>
      <x:c r="I14" t="str">
        <x:v>ALTA</x:v>
      </x:c>
      <x:c r="J14" t="str">
        <x:v>Non valorizzare senza dettaglio</x:v>
      </x:c>
    </x:row>
    <x:row r="15">
      <x:c r="A15" t="str">
        <x:v>Indumenti lavoro</x:v>
      </x:c>
      <x:c r="B15" t="str"/>
      <x:c r="C15" t="str">
        <x:v>321210</x:v>
      </x:c>
      <x:c r="D15" t="n">
        <x:v>0</x:v>
      </x:c>
      <x:c r="E15" t="n">
        <x:v>826</x:v>
      </x:c>
      <x:c r="F15" t="n">
        <x:f>D15-E15</x:f>
        <x:v>-826</x:v>
      </x:c>
      <x:c r="G15" t="str">
        <x:f>IFERROR(F15/D15,"")</x:f>
      </x:c>
      <x:c r="H15" t="str">
        <x:v>Solo se riferito agli 8 operai</x:v>
      </x:c>
      <x:c r="I15" t="str">
        <x:v>MEDIA</x:v>
      </x:c>
      <x:c r="J15" t="str">
        <x:v>Da normalizzare</x:v>
      </x:c>
    </x:row>
    <x:row r="16">
      <x:c r="A16" t="str">
        <x:v>Altri merci/prodotti finiti</x:v>
      </x:c>
      <x:c r="B16" t="str">
        <x:v>411619</x:v>
      </x:c>
      <x:c r="C16" t="str"/>
      <x:c r="D16" t="n">
        <x:v>7000</x:v>
      </x:c>
      <x:c r="E16" t="n">
        <x:v>0</x:v>
      </x:c>
      <x:c r="F16" t="n">
        <x:f>D16-E16</x:f>
        <x:v>7000</x:v>
      </x:c>
      <x:c r="G16" t="n">
        <x:f>IFERROR(F16/D16,"")</x:f>
        <x:v>1</x:v>
      </x:c>
      <x:c r="H16" t="str">
        <x:v>Ricavo senza costo associato identificato</x:v>
      </x:c>
      <x:c r="I16" t="str">
        <x:v>ALTA</x:v>
      </x:c>
      <x:c r="J16" t="str">
        <x:v>Non valorizzare senza dettaglio</x:v>
      </x:c>
    </x:row>
    <x:row r="17">
      <x:c r="A17" t="str">
        <x:v>Soccorso</x:v>
      </x:c>
      <x:c r="B17" t="str">
        <x:v>411616</x:v>
      </x:c>
      <x:c r="C17" t="str"/>
      <x:c r="D17" t="n">
        <x:v>84</x:v>
      </x:c>
      <x:c r="E17" t="n">
        <x:v>0</x:v>
      </x:c>
      <x:c r="F17" t="n">
        <x:f>D17-E17</x:f>
        <x:v>84</x:v>
      </x:c>
      <x:c r="G17" t="n">
        <x:f>IFERROR(F17/D17,"")</x:f>
        <x:v>1</x:v>
      </x:c>
      <x:c r="H17" t="str">
        <x:v>Importo irrilevante</x:v>
      </x:c>
      <x:c r="I17" t="str">
        <x:v>BASSA</x:v>
      </x:c>
      <x:c r="J17" t="str">
        <x:v>Usare con cautela</x:v>
      </x:c>
    </x:row>
  </x:sheetData>
  <x:conditionalFormatting sqref="F2:F17">
    <x:cfRule type="cellIs" dxfId="0" priority="1" operator="lessThan">
      <x:formula>0</x:formula>
    </x:cfRule>
  </x:conditionalFormatting>
  <x:conditionalFormatting sqref="I2:I17">
    <x:cfRule type="expression" dxfId="3" priority="2">
      <x:formula>I2="ALTA"</x:formula>
    </x:cfRule>
  </x:conditionalFormatting>
  <x:pageMargins left="0.7" right="0.7" top="0.75" bottom="0.75" header="0.3" footer="0.3"/>
  <x:drawing xmlns:r="http://schemas.openxmlformats.org/officeDocument/2006/relationships" r:id="Rec2448004b6f4285"/>
  <x:tableParts count="1">
    <x:tablePart xmlns:r="http://schemas.openxmlformats.org/officeDocument/2006/relationships" r:id="R1a40f27f1dcc4b9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Mese</x:v>
      </x:c>
      <x:c r="B1" s="20" t="str">
        <x:v>Costi</x:v>
      </x:c>
      <x:c r="C1" s="20" t="str">
        <x:v>Ricavi</x:v>
      </x:c>
      <x:c r="D1" s="20" t="str">
        <x:v>Margine</x:v>
      </x:c>
      <x:c r="E1" s="16" t="str">
        <x:v>Margine %</x:v>
      </x:c>
      <x:c r="F1" s="14" t="str">
        <x:v>Nota controllo</x:v>
      </x:c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Gennaio</x:v>
      </x:c>
      <x:c r="B2" t="n">
        <x:v>56667.98</x:v>
      </x:c>
      <x:c r="C2" t="n">
        <x:v>135365.88</x:v>
      </x:c>
      <x:c r="D2" t="n">
        <x:f>C2-B2</x:f>
        <x:v>78697.9</x:v>
      </x:c>
      <x:c r="E2" t="n">
        <x:f>IFERROR(D2/C2,"")</x:f>
        <x:v>0.5813717607420718</x:v>
      </x:c>
      <x:c r="F2" t="str">
        <x:f>IF(D2&lt;0,"Mese negativo: chiedere dettaglio competenza/acquisti/stock","")</x:f>
      </x:c>
    </x:row>
    <x:row r="3">
      <x:c r="A3" t="str">
        <x:v>Febbraio</x:v>
      </x:c>
      <x:c r="B3" t="n">
        <x:v>104830.33</x:v>
      </x:c>
      <x:c r="C3" t="n">
        <x:v>120919.4</x:v>
      </x:c>
      <x:c r="D3" t="n">
        <x:f>C3-B3</x:f>
        <x:v>16089.069999999992</x:v>
      </x:c>
      <x:c r="E3" t="n">
        <x:f>IFERROR(D3/C3,"")</x:f>
        <x:v>0.13305615145295124</x:v>
      </x:c>
      <x:c r="F3" t="str">
        <x:f>IF(D3&lt;0,"Mese negativo: chiedere dettaglio competenza/acquisti/stock","")</x:f>
      </x:c>
    </x:row>
    <x:row r="4">
      <x:c r="A4" t="str">
        <x:v>Marzo</x:v>
      </x:c>
      <x:c r="B4" t="n">
        <x:v>70659.72</x:v>
      </x:c>
      <x:c r="C4" t="n">
        <x:v>128842.8</x:v>
      </x:c>
      <x:c r="D4" t="n">
        <x:f>C4-B4</x:f>
        <x:v>58183.08</x:v>
      </x:c>
      <x:c r="E4" t="n">
        <x:f>IFERROR(D4/C4,"")</x:f>
        <x:v>0.4515819277445073</x:v>
      </x:c>
      <x:c r="F4" t="str">
        <x:f>IF(D4&lt;0,"Mese negativo: chiedere dettaglio competenza/acquisti/stock","")</x:f>
      </x:c>
    </x:row>
    <x:row r="5">
      <x:c r="A5" t="str">
        <x:v>Aprile</x:v>
      </x:c>
      <x:c r="B5" t="n">
        <x:v>157952.18</x:v>
      </x:c>
      <x:c r="C5" t="n">
        <x:v>120143.54</x:v>
      </x:c>
      <x:c r="D5" t="n">
        <x:f>C5-B5</x:f>
        <x:v>-37808.64</x:v>
      </x:c>
      <x:c r="E5" t="n">
        <x:f>IFERROR(D5/C5,"")</x:f>
        <x:v>-0.3146955716470482</x:v>
      </x:c>
      <x:c r="F5" t="str">
        <x:f>IF(D5&lt;0,"Mese negativo: chiedere dettaglio competenza/acquisti/stock","")</x:f>
        <x:v>Mese negativo: chiedere dettaglio competenza/acquisti/stock</x:v>
      </x:c>
    </x:row>
    <x:row r="6">
      <x:c r="A6" t="str">
        <x:v>Maggio</x:v>
      </x:c>
      <x:c r="B6" t="n">
        <x:v>135097.37</x:v>
      </x:c>
      <x:c r="C6" t="n">
        <x:v>128350.3</x:v>
      </x:c>
      <x:c r="D6" t="n">
        <x:f>C6-B6</x:f>
        <x:v>-6747.069999999992</x:v>
      </x:c>
      <x:c r="E6" t="n">
        <x:f>IFERROR(D6/C6,"")</x:f>
        <x:v>-0.05256762157938075</x:v>
      </x:c>
      <x:c r="F6" t="str">
        <x:f>IF(D6&lt;0,"Mese negativo: chiedere dettaglio competenza/acquisti/stock","")</x:f>
        <x:v>Mese negativo: chiedere dettaglio competenza/acquisti/stock</x:v>
      </x:c>
    </x:row>
    <x:row r="7">
      <x:c r="A7" t="str">
        <x:v>Giugno</x:v>
      </x:c>
      <x:c r="B7" t="n">
        <x:v>98529.51</x:v>
      </x:c>
      <x:c r="C7" t="n">
        <x:v>140923.36</x:v>
      </x:c>
      <x:c r="D7" t="n">
        <x:f>C7-B7</x:f>
        <x:v>42393.84999999999</x:v>
      </x:c>
      <x:c r="E7" t="n">
        <x:f>IFERROR(D7/C7,"")</x:f>
        <x:v>0.30082911733015727</x:v>
      </x:c>
      <x:c r="F7" t="str">
        <x:f>IF(D7&lt;0,"Mese negativo: chiedere dettaglio competenza/acquisti/stock","")</x:f>
      </x:c>
    </x:row>
    <x:row r="8">
      <x:c r="A8" t="str">
        <x:v>Luglio</x:v>
      </x:c>
      <x:c r="B8" t="n">
        <x:v>36206.1</x:v>
      </x:c>
      <x:c r="C8" t="n">
        <x:v>132125.64</x:v>
      </x:c>
      <x:c r="D8" t="n">
        <x:f>C8-B8</x:f>
        <x:v>95919.54000000001</x:v>
      </x:c>
      <x:c r="E8" t="n">
        <x:f>IFERROR(D8/C8,"")</x:f>
        <x:v>0.7259721882898732</x:v>
      </x:c>
      <x:c r="F8" t="str">
        <x:f>IF(D8&lt;0,"Mese negativo: chiedere dettaglio competenza/acquisti/stock","")</x:f>
      </x:c>
    </x:row>
    <x:row r="9">
      <x:c r="A9" t="str">
        <x:v>Agosto</x:v>
      </x:c>
      <x:c r="B9" t="n">
        <x:v>101325.57</x:v>
      </x:c>
      <x:c r="C9" t="n">
        <x:v>95970.33</x:v>
      </x:c>
      <x:c r="D9" t="n">
        <x:f>C9-B9</x:f>
        <x:v>-5355.240000000005</x:v>
      </x:c>
      <x:c r="E9" t="n">
        <x:f>IFERROR(D9/C9,"")</x:f>
        <x:v>-0.055800995995324856</x:v>
      </x:c>
      <x:c r="F9" t="str">
        <x:f>IF(D9&lt;0,"Mese negativo: chiedere dettaglio competenza/acquisti/stock","")</x:f>
        <x:v>Mese negativo: chiedere dettaglio competenza/acquisti/stock</x:v>
      </x:c>
    </x:row>
    <x:row r="10">
      <x:c r="A10" t="str">
        <x:v>Settembre</x:v>
      </x:c>
      <x:c r="B10" t="n">
        <x:v>112168.44</x:v>
      </x:c>
      <x:c r="C10" t="n">
        <x:v>93099.95</x:v>
      </x:c>
      <x:c r="D10" t="n">
        <x:f>C10-B10</x:f>
        <x:v>-19068.490000000005</x:v>
      </x:c>
      <x:c r="E10" t="n">
        <x:f>IFERROR(D10/C10,"")</x:f>
        <x:v>-0.20481740323168815</x:v>
      </x:c>
      <x:c r="F10" t="str">
        <x:f>IF(D10&lt;0,"Mese negativo: chiedere dettaglio competenza/acquisti/stock","")</x:f>
        <x:v>Mese negativo: chiedere dettaglio competenza/acquisti/stock</x:v>
      </x:c>
    </x:row>
    <x:row r="11">
      <x:c r="A11" t="str">
        <x:v>Ottobre</x:v>
      </x:c>
      <x:c r="B11" t="n">
        <x:v>85479.55</x:v>
      </x:c>
      <x:c r="C11" t="n">
        <x:v>124207.6</x:v>
      </x:c>
      <x:c r="D11" t="n">
        <x:f>C11-B11</x:f>
        <x:v>38728.05</x:v>
      </x:c>
      <x:c r="E11" t="n">
        <x:f>IFERROR(D11/C11,"")</x:f>
        <x:v>0.31180096870078805</x:v>
      </x:c>
      <x:c r="F11" t="str">
        <x:f>IF(D11&lt;0,"Mese negativo: chiedere dettaglio competenza/acquisti/stock","")</x:f>
      </x:c>
    </x:row>
    <x:row r="12">
      <x:c r="A12" t="str">
        <x:v>Novembre</x:v>
      </x:c>
      <x:c r="B12" t="n">
        <x:v>49076.78</x:v>
      </x:c>
      <x:c r="C12" t="n">
        <x:v>98000.32</x:v>
      </x:c>
      <x:c r="D12" t="n">
        <x:f>C12-B12</x:f>
        <x:v>48923.54000000001</x:v>
      </x:c>
      <x:c r="E12" t="n">
        <x:f>IFERROR(D12/C12,"")</x:f>
        <x:v>0.4992181658182341</x:v>
      </x:c>
      <x:c r="F12" t="str">
        <x:f>IF(D12&lt;0,"Mese negativo: chiedere dettaglio competenza/acquisti/stock","")</x:f>
      </x:c>
    </x:row>
    <x:row r="13">
      <x:c r="A13" t="str">
        <x:v>Dicembre</x:v>
      </x:c>
      <x:c r="B13" t="n">
        <x:v>27669.08</x:v>
      </x:c>
      <x:c r="C13" t="n">
        <x:v>86073.61</x:v>
      </x:c>
      <x:c r="D13" t="n">
        <x:f>C13-B13</x:f>
        <x:v>58404.53</x:v>
      </x:c>
      <x:c r="E13" t="n">
        <x:f>IFERROR(D13/C13,"")</x:f>
        <x:v>0.678541657541725</x:v>
      </x:c>
      <x:c r="F13" t="str">
        <x:f>IF(D13&lt;0,"Mese negativo: chiedere dettaglio competenza/acquisti/stock","")</x:f>
      </x:c>
    </x:row>
  </x:sheetData>
  <x:conditionalFormatting sqref="D2:D13">
    <x:cfRule type="cellIs" dxfId="1" priority="1" operator="lessThan">
      <x:formula>0</x:formula>
    </x:cfRule>
  </x:conditionalFormatting>
  <x:pageMargins left="0.7" right="0.7" top="0.75" bottom="0.75" header="0.3" footer="0.3"/>
  <x:drawing xmlns:r="http://schemas.openxmlformats.org/officeDocument/2006/relationships" r:id="R7f85f28c8b1b43c9"/>
  <x:tableParts count="1">
    <x:tablePart xmlns:r="http://schemas.openxmlformats.org/officeDocument/2006/relationships" r:id="R03330bd22a8149d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Voce</x:v>
      </x:c>
      <x:c r="B1" s="14" t="str">
        <x:v>Dato/Formula</x:v>
      </x:c>
      <x:c r="C1" s="20" t="str">
        <x:v>Valore</x:v>
      </x:c>
      <x:c r="D1" s="14" t="str">
        <x:v>Nota</x:v>
      </x:c>
      <x:c r="E1" s="14"/>
      <x:c r="F1" s="14"/>
      <x:c r="G1" s="14"/>
      <x:c r="H1" s="14"/>
      <x:c r="I1" s="14"/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Ricavo manodopera da mastrino</x:v>
      </x:c>
      <x:c r="B2" t="str">
        <x:v>411615</x:v>
      </x:c>
      <x:c r="C2" t="n">
        <x:v>659299.15</x:v>
      </x:c>
      <x:c r="D2" t="str">
        <x:v>Dato utile solo se generato dagli 8 operai oggetto di affitto</x:v>
      </x:c>
    </x:row>
    <x:row r="3">
      <x:c r="A3" t="str">
        <x:v>Stipendi operai da mastrino</x:v>
      </x:c>
      <x:c r="B3" t="str">
        <x:v>324103</x:v>
      </x:c>
      <x:c r="C3" t="n">
        <x:v>316047.87</x:v>
      </x:c>
      <x:c r="D3" t="str">
        <x:v>Dato aggregato: rischio include personale non trasferito</x:v>
      </x:c>
    </x:row>
    <x:row r="4">
      <x:c r="A4" t="str">
        <x:v>Margine apparente lordo</x:v>
      </x:c>
      <x:c r="B4" t="str">
        <x:v>Ricavo - stipendi</x:v>
      </x:c>
      <x:c r="C4" t="n">
        <x:f>C2-C3</x:f>
        <x:v>343251.28</x:v>
      </x:c>
      <x:c r="D4" t="str">
        <x:v>Non considerare finale</x:v>
      </x:c>
    </x:row>
    <x:row r="5">
      <x:c r="A5" t="str">
        <x:v>Numero operai oggetto AMATI</x:v>
      </x:c>
      <x:c r="B5" t="str">
        <x:v>Input</x:v>
      </x:c>
      <x:c r="C5" t="n">
        <x:v>8</x:v>
      </x:c>
      <x:c r="D5" t="str">
        <x:v>Da validare nominativamente</x:v>
      </x:c>
    </x:row>
    <x:row r="6">
      <x:c r="A6" t="str">
        <x:v>Ricavo per operaio apparente</x:v>
      </x:c>
      <x:c r="B6" t="str">
        <x:v>Ricavo / 8</x:v>
      </x:c>
      <x:c r="C6" t="n">
        <x:f>C2/C5</x:f>
        <x:v>82412.39375</x:v>
      </x:c>
      <x:c r="D6" t="str">
        <x:v>Solo se ricavo generato dagli stessi 8</x:v>
      </x:c>
    </x:row>
    <x:row r="7">
      <x:c r="A7" t="str">
        <x:v>Stipendio medio apparente</x:v>
      </x:c>
      <x:c r="B7" t="str">
        <x:v>Stipendi / 8</x:v>
      </x:c>
      <x:c r="C7" t="n">
        <x:f>C3/C5</x:f>
        <x:v>39505.98375</x:v>
      </x:c>
      <x:c r="D7" t="str">
        <x:v>Non include necessariamente oneri/ratei/futuro AMATI</x:v>
      </x:c>
    </x:row>
    <x:row r="8">
      <x:c r="A8" t="str">
        <x:v>Costo pieno annuo per gli 8</x:v>
      </x:c>
      <x:c r="B8" t="str">
        <x:v>Input richiesto</x:v>
      </x:c>
      <x:c r="C8" t="str"/>
      <x:c r="D8" t="str">
        <x:v>Retribuzione + oneri + INAIL + TFR maturando + ratei + straordinari</x:v>
      </x:c>
    </x:row>
    <x:row r="9">
      <x:c r="A9" t="str">
        <x:v>Ore presenza annue degli 8</x:v>
      </x:c>
      <x:c r="B9" t="str">
        <x:v>Input richiesto</x:v>
      </x:c>
      <x:c r="C9" t="str"/>
      <x:c r="D9" t="str">
        <x:v>Da payroll/timbrature</x:v>
      </x:c>
    </x:row>
    <x:row r="10">
      <x:c r="A10" t="str">
        <x:v>Ore produttive/fatturate</x:v>
      </x:c>
      <x:c r="B10" t="str">
        <x:v>Input richiesto</x:v>
      </x:c>
      <x:c r="C10" t="str"/>
      <x:c r="D10" t="str">
        <x:v>Da ordini lavoro</x:v>
      </x:c>
    </x:row>
    <x:row r="11">
      <x:c r="A11" t="str">
        <x:v>Tariffa media manodopera</x:v>
      </x:c>
      <x:c r="B11" t="str">
        <x:v>Ricavo / ore fatturate</x:v>
      </x:c>
      <x:c r="C11" t="str"/>
      <x:c r="D11" t="str">
        <x:v>Da calcolare dopo export ordini lavoro</x:v>
      </x:c>
    </x:row>
    <x:row r="12">
      <x:c r="A12" t="str">
        <x:v>Margine reale manodopera</x:v>
      </x:c>
      <x:c r="B12" t="str">
        <x:v>Ricavo pertinente 8 - costo pieno 8</x:v>
      </x:c>
      <x:c r="C12" t="str"/>
      <x:c r="D12" t="str">
        <x:v>KPI centrale per valore ramo</x:v>
      </x:c>
    </x:row>
  </x:sheetData>
  <x:pageMargins left="0.7" right="0.7" top="0.75" bottom="0.75" header="0.3" footer="0.3"/>
  <x:tableParts count="1">
    <x:tablePart xmlns:r="http://schemas.openxmlformats.org/officeDocument/2006/relationships" r:id="Rff01f7d4b4f6449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Famiglia</x:v>
      </x:c>
      <x:c r="B1" s="14" t="str">
        <x:v>Ricavo mastrino</x:v>
      </x:c>
      <x:c r="C1" s="14" t="str">
        <x:v>Acquisti/costi mastrino</x:v>
      </x:c>
      <x:c r="D1" s="14" t="str">
        <x:v>Magazzino iniziale</x:v>
      </x:c>
      <x:c r="E1" s="14" t="str">
        <x:v>Magazzino finale</x:v>
      </x:c>
      <x:c r="F1" s="14" t="str">
        <x:v>Consumo reale</x:v>
      </x:c>
      <x:c r="G1" s="14" t="str">
        <x:v>Margine normalizzato</x:v>
      </x:c>
      <x:c r="H1" s="14" t="str">
        <x:v>Dato mancante chiave</x:v>
      </x:c>
      <x:c r="I1" s="14" t="str">
        <x:v>Controllo campo</x:v>
      </x:c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Pneumatici</x:v>
      </x:c>
      <x:c r="B2" t="n">
        <x:v>312556.83</x:v>
      </x:c>
      <x:c r="C2" t="n">
        <x:v>350770.02</x:v>
      </x:c>
      <x:c r="D2" t="str"/>
      <x:c r="E2" t="str"/>
      <x:c r="F2" t="n">
        <x:f>IFERROR(D2+C2-E2,"")</x:f>
        <x:v>350770.02</x:v>
      </x:c>
      <x:c r="G2" t="n">
        <x:f>IFERROR(B2-F2,"")</x:f>
        <x:v>-38213.19</x:v>
      </x:c>
      <x:c r="H2" t="str">
        <x:v>Inventario iniziale/finale + movimenti scarico</x:v>
      </x:c>
      <x:c r="I2" t="str">
        <x:v>Verificare 5-10 ordini lavoro campione</x:v>
      </x:c>
    </x:row>
    <x:row r="3">
      <x:c r="A3" t="str">
        <x:v>Sollevatori</x:v>
      </x:c>
      <x:c r="B3" t="n">
        <x:v>101143.69</x:v>
      </x:c>
      <x:c r="C3" t="n">
        <x:v>88663.2</x:v>
      </x:c>
      <x:c r="D3" t="str"/>
      <x:c r="E3" t="str"/>
      <x:c r="F3" t="n">
        <x:f>IFERROR(D3+C3-E3,"")</x:f>
        <x:v>88663.2</x:v>
      </x:c>
      <x:c r="G3" t="n">
        <x:f>IFERROR(B3-F3,"")</x:f>
        <x:v>12480.490000000005</x:v>
      </x:c>
      <x:c r="H3" t="str">
        <x:v>Inventario iniziale/finale + movimenti scarico</x:v>
      </x:c>
      <x:c r="I3" t="str">
        <x:v>Verificare 5-10 ordini lavoro campione</x:v>
      </x:c>
    </x:row>
    <x:row r="4">
      <x:c r="A4" t="str">
        <x:v>Carrozzeria</x:v>
      </x:c>
      <x:c r="B4" t="n">
        <x:v>98977.73</x:v>
      </x:c>
      <x:c r="C4" t="n">
        <x:v>83001.82</x:v>
      </x:c>
      <x:c r="D4" t="str"/>
      <x:c r="E4" t="str"/>
      <x:c r="F4" t="n">
        <x:f>IFERROR(D4+C4-E4,"")</x:f>
        <x:v>83001.82</x:v>
      </x:c>
      <x:c r="G4" t="n">
        <x:f>IFERROR(B4-F4,"")</x:f>
        <x:v>15975.909999999989</x:v>
      </x:c>
      <x:c r="H4" t="str">
        <x:v>Inventario iniziale/finale + movimenti scarico</x:v>
      </x:c>
      <x:c r="I4" t="str">
        <x:v>Verificare 5-10 ordini lavoro campione</x:v>
      </x:c>
    </x:row>
    <x:row r="5">
      <x:c r="A5" t="str">
        <x:v>Freni</x:v>
      </x:c>
      <x:c r="B5" t="n">
        <x:v>83500.65</x:v>
      </x:c>
      <x:c r="C5" t="n">
        <x:v>63065.97</x:v>
      </x:c>
      <x:c r="D5" t="str"/>
      <x:c r="E5" t="str"/>
      <x:c r="F5" t="n">
        <x:f>IFERROR(D5+C5-E5,"")</x:f>
        <x:v>63065.97</x:v>
      </x:c>
      <x:c r="G5" t="n">
        <x:f>IFERROR(B5-F5,"")</x:f>
        <x:v>20434.679999999993</x:v>
      </x:c>
      <x:c r="H5" t="str">
        <x:v>Inventario iniziale/finale + movimenti scarico</x:v>
      </x:c>
      <x:c r="I5" t="str">
        <x:v>Verificare 5-10 ordini lavoro campione</x:v>
      </x:c>
    </x:row>
    <x:row r="6">
      <x:c r="A6" t="str">
        <x:v>Sospensioni</x:v>
      </x:c>
      <x:c r="B6" t="n">
        <x:v>68796.25</x:v>
      </x:c>
      <x:c r="C6" t="n">
        <x:v>60634.49</x:v>
      </x:c>
      <x:c r="D6" t="str"/>
      <x:c r="E6" t="str"/>
      <x:c r="F6" t="n">
        <x:f>IFERROR(D6+C6-E6,"")</x:f>
        <x:v>60634.49</x:v>
      </x:c>
      <x:c r="G6" t="n">
        <x:f>IFERROR(B6-F6,"")</x:f>
        <x:v>8161.760000000002</x:v>
      </x:c>
      <x:c r="H6" t="str">
        <x:v>Inventario iniziale/finale + movimenti scarico</x:v>
      </x:c>
      <x:c r="I6" t="str">
        <x:v>Verificare 5-10 ordini lavoro campione</x:v>
      </x:c>
    </x:row>
    <x:row r="7">
      <x:c r="A7" t="str">
        <x:v>Consumabili</x:v>
      </x:c>
      <x:c r="B7" t="n">
        <x:v>29086.73</x:v>
      </x:c>
      <x:c r="C7" t="n">
        <x:v>21814.45</x:v>
      </x:c>
      <x:c r="D7" t="str"/>
      <x:c r="E7" t="str"/>
      <x:c r="F7" t="n">
        <x:f>IFERROR(D7+C7-E7,"")</x:f>
        <x:v>21814.45</x:v>
      </x:c>
      <x:c r="G7" t="n">
        <x:f>IFERROR(B7-F7,"")</x:f>
        <x:v>7272.279999999999</x:v>
      </x:c>
      <x:c r="H7" t="str">
        <x:v>Inventario iniziale/finale + movimenti scarico</x:v>
      </x:c>
      <x:c r="I7" t="str">
        <x:v>Verificare 5-10 ordini lavoro campione</x:v>
      </x:c>
    </x:row>
    <x:row r="8">
      <x:c r="A8" t="str">
        <x:v>Segnaletica</x:v>
      </x:c>
      <x:c r="B8" t="n">
        <x:v>16271.69</x:v>
      </x:c>
      <x:c r="C8" t="n">
        <x:v>15886.9</x:v>
      </x:c>
      <x:c r="D8" t="str"/>
      <x:c r="E8" t="str"/>
      <x:c r="F8" t="n">
        <x:f>IFERROR(D8+C8-E8,"")</x:f>
        <x:v>15886.9</x:v>
      </x:c>
      <x:c r="G8" t="n">
        <x:f>IFERROR(B8-F8,"")</x:f>
        <x:v>384.7900000000009</x:v>
      </x:c>
      <x:c r="H8" t="str">
        <x:v>Inventario iniziale/finale + movimenti scarico</x:v>
      </x:c>
      <x:c r="I8" t="str">
        <x:v>Verificare 5-10 ordini lavoro campione</x:v>
      </x:c>
    </x:row>
    <x:row r="9">
      <x:c r="A9" t="str">
        <x:v>Elettricità/elettrico</x:v>
      </x:c>
      <x:c r="B9" t="n">
        <x:v>14970.12</x:v>
      </x:c>
      <x:c r="C9" t="n">
        <x:v>7555.51</x:v>
      </x:c>
      <x:c r="D9" t="str"/>
      <x:c r="E9" t="str"/>
      <x:c r="F9" t="n">
        <x:f>IFERROR(D9+C9-E9,"")</x:f>
        <x:v>7555.51</x:v>
      </x:c>
      <x:c r="G9" t="n">
        <x:f>IFERROR(B9-F9,"")</x:f>
        <x:v>7414.610000000001</x:v>
      </x:c>
      <x:c r="H9" t="str">
        <x:v>Inventario iniziale/finale + movimenti scarico</x:v>
      </x:c>
      <x:c r="I9" t="str">
        <x:v>Verificare 5-10 ordini lavoro campione</x:v>
      </x:c>
    </x:row>
    <x:row r="10">
      <x:c r="A10" t="str">
        <x:v>Vernici</x:v>
      </x:c>
      <x:c r="B10" t="n">
        <x:v>9505.98</x:v>
      </x:c>
      <x:c r="C10" t="n">
        <x:v>8647.73</x:v>
      </x:c>
      <x:c r="D10" t="str"/>
      <x:c r="E10" t="str"/>
      <x:c r="F10" t="n">
        <x:f>IFERROR(D10+C10-E10,"")</x:f>
        <x:v>8647.73</x:v>
      </x:c>
      <x:c r="G10" t="n">
        <x:f>IFERROR(B10-F10,"")</x:f>
        <x:v>858.25</x:v>
      </x:c>
      <x:c r="H10" t="str">
        <x:v>Inventario iniziale/finale + movimenti scarico</x:v>
      </x:c>
      <x:c r="I10" t="str">
        <x:v>Verificare 5-10 ordini lavoro campione</x:v>
      </x:c>
    </x:row>
    <x:row r="11">
      <x:c r="A11" t="str">
        <x:v>Valvole</x:v>
      </x:c>
      <x:c r="B11" t="n">
        <x:v>2553.71</x:v>
      </x:c>
      <x:c r="C11" t="n">
        <x:v>2141.6</x:v>
      </x:c>
      <x:c r="D11" t="str"/>
      <x:c r="E11" t="str"/>
      <x:c r="F11" t="n">
        <x:f>IFERROR(D11+C11-E11,"")</x:f>
        <x:v>2141.6</x:v>
      </x:c>
      <x:c r="G11" t="n">
        <x:f>IFERROR(B11-F11,"")</x:f>
        <x:v>412.1100000000001</x:v>
      </x:c>
      <x:c r="H11" t="str">
        <x:v>Inventario iniziale/finale + movimenti scarico</x:v>
      </x:c>
      <x:c r="I11" t="str">
        <x:v>Verificare 5-10 ordini lavoro campione</x:v>
      </x:c>
    </x:row>
    <x:row r="12">
      <x:c r="A12" t="str">
        <x:v>Meccanica</x:v>
      </x:c>
      <x:c r="B12" t="n">
        <x:v>276.2</x:v>
      </x:c>
      <x:c r="C12" t="n">
        <x:v>10408.5</x:v>
      </x:c>
      <x:c r="D12" t="str"/>
      <x:c r="E12" t="str"/>
      <x:c r="F12" t="n">
        <x:f>IFERROR(D12+C12-E12,"")</x:f>
        <x:v>10408.5</x:v>
      </x:c>
      <x:c r="G12" t="n">
        <x:f>IFERROR(B12-F12,"")</x:f>
        <x:v>-10132.3</x:v>
      </x:c>
      <x:c r="H12" t="str">
        <x:v>Inventario iniziale/finale + movimenti scarico</x:v>
      </x:c>
      <x:c r="I12" t="str">
        <x:v>Verificare 5-10 ordini lavoro campione</x:v>
      </x:c>
    </x:row>
    <x:row r="13">
      <x:c r="A13" t="str">
        <x:v>Materiale vario</x:v>
      </x:c>
      <x:c r="B13" t="n">
        <x:v>0</x:v>
      </x:c>
      <x:c r="C13" t="n">
        <x:v>6198.55</x:v>
      </x:c>
      <x:c r="D13" t="str"/>
      <x:c r="E13" t="str"/>
      <x:c r="F13" t="n">
        <x:f>IFERROR(D13+C13-E13,"")</x:f>
        <x:v>6198.55</x:v>
      </x:c>
      <x:c r="G13" t="n">
        <x:f>IFERROR(B13-F13,"")</x:f>
        <x:v>-6198.55</x:v>
      </x:c>
      <x:c r="H13" t="str">
        <x:v>Inventario iniziale/finale + movimenti scarico</x:v>
      </x:c>
      <x:c r="I13" t="str">
        <x:v>Verificare 5-10 ordini lavoro campione</x:v>
      </x:c>
    </x:row>
  </x:sheetData>
  <x:pageMargins left="0.7" right="0.7" top="0.75" bottom="0.75" header="0.3" footer="0.3"/>
  <x:tableParts count="1">
    <x:tablePart xmlns:r="http://schemas.openxmlformats.org/officeDocument/2006/relationships" r:id="R63e360fa6aad4c5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Rettifica/Normalizzazione</x:v>
      </x:c>
      <x:c r="B1" s="12" t="str">
        <x:v>Impatto atteso</x:v>
      </x:c>
      <x:c r="C1" s="12" t="str">
        <x:v>Dato necessario</x:v>
      </x:c>
      <x:c r="D1" s="12" t="str">
        <x:v>Perché è critica</x:v>
      </x:c>
      <x:c r="E1" s="12" t="str">
        <x:v>Priorità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Personale solo 8 operai</x:v>
      </x:c>
      <x:c r="B2" t="str">
        <x:v>Potrebbe ridurre/aumentare il margine rispetto al mastrino aggregato</x:v>
      </x:c>
      <x:c r="C2" t="str">
        <x:v>Payroll nominativo e costi futuri AMATI</x:v>
      </x:c>
      <x:c r="D2" t="str">
        <x:v>Il conto stipendi non prova il perimetro</x:v>
      </x:c>
      <x:c r="E2" t="str">
        <x:v>Alta</x:v>
      </x:c>
    </x:row>
    <x:row r="3">
      <x:c r="A3" t="str">
        <x:v>Costo pieno del personale</x:v>
      </x:c>
      <x:c r="B3" t="str">
        <x:v>Riduce margine rispetto a solo stipendi</x:v>
      </x:c>
      <x:c r="C3" t="str">
        <x:v>Contributi, INAIL, TFR maturando, ratei, straordinari</x:v>
      </x:c>
      <x:c r="D3" t="str">
        <x:v>Serve per business plan, anche se pregresso va contrattualizzato</x:v>
      </x:c>
      <x:c r="E3" t="str">
        <x:v>Alta</x:v>
      </x:c>
    </x:row>
    <x:row r="4">
      <x:c r="A4" t="str">
        <x:v>Magazzino ricambi iniziale/finale</x:v>
      </x:c>
      <x:c r="B4" t="str">
        <x:v>Può trasformare perdita apparente in margine o viceversa</x:v>
      </x:c>
      <x:c r="C4" t="str">
        <x:v>Inventari e movimenti articolo</x:v>
      </x:c>
      <x:c r="D4" t="str">
        <x:v>Acquisti non sono consumi</x:v>
      </x:c>
      <x:c r="E4" t="str">
        <x:v>Alta</x:v>
      </x:c>
    </x:row>
    <x:row r="5">
      <x:c r="A5" t="str">
        <x:v>Ricavi post-affitto garantiti</x:v>
      </x:c>
      <x:c r="B5" t="str">
        <x:v>Può azzerare valore se intercompany non continua</x:v>
      </x:c>
      <x:c r="C5" t="str">
        <x:v>Contratti/listini cliente dopo affitto</x:v>
      </x:c>
      <x:c r="D5" t="str">
        <x:v>Valore dipende dalla continuità dei ricavi</x:v>
      </x:c>
      <x:c r="E5" t="str">
        <x:v>Alta</x:v>
      </x:c>
    </x:row>
    <x:row r="6">
      <x:c r="A6" t="str">
        <x:v>Costi generali necessari AMATI</x:v>
      </x:c>
      <x:c r="B6" t="str">
        <x:v>Riduce risultato del ramo</x:v>
      </x:c>
      <x:c r="C6" t="str">
        <x:v>Affitti, energia, software, sicurezza, amministrazione</x:v>
      </x:c>
      <x:c r="D6" t="str">
        <x:v>Il ramo dopo affitto avrà costi reali di gestione</x:v>
      </x:c>
      <x:c r="E6" t="str">
        <x:v>Alta</x:v>
      </x:c>
    </x:row>
    <x:row r="7">
      <x:c r="A7" t="str">
        <x:v>Attrezzature incluse</x:v>
      </x:c>
      <x:c r="B7" t="str">
        <x:v>Impatto su investimenti iniziali</x:v>
      </x:c>
      <x:c r="C7" t="str">
        <x:v>Elenco cespiti, proprietà/leasing/noleggio</x:v>
      </x:c>
      <x:c r="D7" t="str">
        <x:v>Senza asset non si replica capacità produttiva</x:v>
      </x:c>
      <x:c r="E7" t="str">
        <x:v>Alta</x:v>
      </x:c>
    </x:row>
    <x:row r="8">
      <x:c r="A8" t="str">
        <x:v>Una tantum e lavori straordinari</x:v>
      </x:c>
      <x:c r="B8" t="str">
        <x:v>Rimuovere da run-rate</x:v>
      </x:c>
      <x:c r="C8" t="str">
        <x:v>Dettaglio fatture/ordini lavoro</x:v>
      </x:c>
      <x:c r="D8" t="str">
        <x:v>Serve EBITDA normalizzato</x:v>
      </x:c>
      <x:c r="E8" t="str">
        <x:v>Media</x:v>
      </x:c>
    </x:row>
    <x:row r="9">
      <x:c r="A9" t="str">
        <x:v>Premi/sconti fornitori</x:v>
      </x:c>
      <x:c r="B9" t="str">
        <x:v>Migliora margine netto acquisti</x:v>
      </x:c>
      <x:c r="C9" t="str">
        <x:v>Acquisti per fornitore e accordi sconto</x:v>
      </x:c>
      <x:c r="D9" t="str">
        <x:v>Listini non sono prezzi effettivi</x:v>
      </x:c>
      <x:c r="E9" t="str">
        <x:v>Media</x:v>
      </x:c>
    </x:row>
    <x:row r="10">
      <x:c r="A10" t="str">
        <x:v>Rework/garanzie</x:v>
      </x:c>
      <x:c r="B10" t="str">
        <x:v>Riduce margine operativo</x:v>
      </x:c>
      <x:c r="C10" t="str">
        <x:v>Interventi ripetuti, garanzie, note credito</x:v>
      </x:c>
      <x:c r="D10" t="str">
        <x:v>Misura qualità officina</x:v>
      </x:c>
      <x:c r="E10" t="str">
        <x:v>Media</x:v>
      </x:c>
    </x:row>
    <x:row r="11">
      <x:c r="A11" t="str">
        <x:v>Fermi mezzo e SLA</x:v>
      </x:c>
      <x:c r="B11" t="str">
        <x:v>Impatto su valore cliente</x:v>
      </x:c>
      <x:c r="C11" t="str">
        <x:v>Date apertura/chiusura, motivi fermo</x:v>
      </x:c>
      <x:c r="D11" t="str">
        <x:v>Collega officina a continuità operativa</x:v>
      </x:c>
      <x:c r="E11" t="str">
        <x:v>Media</x:v>
      </x:c>
    </x:row>
  </x:sheetData>
  <x:pageMargins left="0.7" right="0.7" top="0.75" bottom="0.75" header="0.3" footer="0.3"/>
  <x:tableParts count="1">
    <x:tablePart xmlns:r="http://schemas.openxmlformats.org/officeDocument/2006/relationships" r:id="R6188855d4860495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Area</x:v>
      </x:c>
      <x:c r="B1" s="12" t="str">
        <x:v>Domanda di verifica</x:v>
      </x:c>
      <x:c r="C1" s="12" t="str">
        <x:v>Evidenza richiesta</x:v>
      </x:c>
      <x:c r="D1" s="12" t="str">
        <x:v>Esito campo</x:v>
      </x:c>
      <x:c r="E1" s="12" t="str">
        <x:v>Rischio se non dimostrato</x:v>
      </x:c>
      <x:c r="F1" s="12" t="str">
        <x:v>Owner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Perimetro ramo</x:v>
      </x:c>
      <x:c r="B2" t="str">
        <x:v>Quali attività/clienti/mezzi/asset sono inclusi nell'affitto?</x:v>
      </x:c>
      <x:c r="C2" t="str">
        <x:v>Contratto + allegati perimetro</x:v>
      </x:c>
      <x:c r="D2" t="str"/>
      <x:c r="E2" t="str">
        <x:v>Valore non difendibile</x:v>
      </x:c>
      <x:c r="F2" t="str">
        <x:v>AMATI</x:v>
      </x:c>
    </x:row>
    <x:row r="3">
      <x:c r="A3" t="str">
        <x:v>Personale</x:v>
      </x:c>
      <x:c r="B3" t="str">
        <x:v>Il conto stipendi contiene solo gli 8 operai?</x:v>
      </x:c>
      <x:c r="C3" t="str">
        <x:v>Prospetto per matricola riconciliato a mastrino</x:v>
      </x:c>
      <x:c r="D3" t="str"/>
      <x:c r="E3" t="str">
        <x:v>Costo e produttività falsati</x:v>
      </x:c>
      <x:c r="F3" t="str">
        <x:v>HR/Payroll</x:v>
      </x:c>
    </x:row>
    <x:row r="4">
      <x:c r="A4" t="str">
        <x:v>Personale</x:v>
      </x:c>
      <x:c r="B4" t="str">
        <x:v>Gli 8 generano i ricavi manodopera mostrati?</x:v>
      </x:c>
      <x:c r="C4" t="str">
        <x:v>Ordini lavoro per operaio + ore fatturate</x:v>
      </x:c>
      <x:c r="D4" t="str"/>
      <x:c r="E4" t="str">
        <x:v>Ricavi sovrastimati</x:v>
      </x:c>
      <x:c r="F4" t="str">
        <x:v>Officina</x:v>
      </x:c>
    </x:row>
    <x:row r="5">
      <x:c r="A5" t="str">
        <x:v>Ricavi</x:v>
      </x:c>
      <x:c r="B5" t="str">
        <x:v>I clienti continueranno dopo l'affitto?</x:v>
      </x:c>
      <x:c r="C5" t="str">
        <x:v>Contratti/listini/lettere impegno</x:v>
      </x:c>
      <x:c r="D5" t="str"/>
      <x:c r="E5" t="str">
        <x:v>Run-rate non sostenibile</x:v>
      </x:c>
      <x:c r="F5" t="str">
        <x:v>Commerciale</x:v>
      </x:c>
    </x:row>
    <x:row r="6">
      <x:c r="A6" t="str">
        <x:v>Ricambi</x:v>
      </x:c>
      <x:c r="B6" t="str">
        <x:v>I ricavi ricambi sono collegati a scarichi magazzino?</x:v>
      </x:c>
      <x:c r="C6" t="str">
        <x:v>Export movimenti magazzino + ODL</x:v>
      </x:c>
      <x:c r="D6" t="str"/>
      <x:c r="E6" t="str">
        <x:v>Margine ricambi falsato</x:v>
      </x:c>
      <x:c r="F6" t="str">
        <x:v>Magazzino</x:v>
      </x:c>
    </x:row>
    <x:row r="7">
      <x:c r="A7" t="str">
        <x:v>Pneumatici</x:v>
      </x:c>
      <x:c r="B7" t="str">
        <x:v>Perché pneumatici sono in perdita apparente?</x:v>
      </x:c>
      <x:c r="C7" t="str">
        <x:v>Inventario gomme, movimenti, prezzi acquisto/vendita</x:v>
      </x:c>
      <x:c r="D7" t="str"/>
      <x:c r="E7" t="str">
        <x:v>Spreco o costi non pertinenti</x:v>
      </x:c>
      <x:c r="F7" t="str">
        <x:v>Magazzino</x:v>
      </x:c>
    </x:row>
    <x:row r="8">
      <x:c r="A8" t="str">
        <x:v>Meccanica</x:v>
      </x:c>
      <x:c r="B8" t="str">
        <x:v>Perché costo meccanica ha quasi zero ricavi?</x:v>
      </x:c>
      <x:c r="C8" t="str">
        <x:v>Dettaglio fatture e imputazioni</x:v>
      </x:c>
      <x:c r="D8" t="str"/>
      <x:c r="E8" t="str">
        <x:v>Costo non pertinente o pricing errato</x:v>
      </x:c>
      <x:c r="F8" t="str">
        <x:v>Contabilità</x:v>
      </x:c>
    </x:row>
    <x:row r="9">
      <x:c r="A9" t="str">
        <x:v>Attrezzature</x:v>
      </x:c>
      <x:c r="B9" t="str">
        <x:v>Cosa resta fisicamente ad AMATI?</x:v>
      </x:c>
      <x:c r="C9" t="str">
        <x:v>Elenco cespiti firmato, foto, proprietà/leasing</x:v>
      </x:c>
      <x:c r="D9" t="str"/>
      <x:c r="E9" t="str">
        <x:v>Investimenti nascosti</x:v>
      </x:c>
      <x:c r="F9" t="str">
        <x:v>Operations</x:v>
      </x:c>
    </x:row>
    <x:row r="10">
      <x:c r="A10" t="str">
        <x:v>Sistema gestionale</x:v>
      </x:c>
      <x:c r="B10" t="str">
        <x:v>Si apre sempre un ordine di lavoro?</x:v>
      </x:c>
      <x:c r="C10" t="str">
        <x:v>Demo workflow e export ODL</x:v>
      </x:c>
      <x:c r="D10" t="str"/>
      <x:c r="E10" t="str">
        <x:v>Controllo operativo debole</x:v>
      </x:c>
      <x:c r="F10" t="str">
        <x:v>Officina</x:v>
      </x:c>
    </x:row>
    <x:row r="11">
      <x:c r="A11" t="str">
        <x:v>Magazzino</x:v>
      </x:c>
      <x:c r="B11" t="str">
        <x:v>Chi autorizza e registra prelievi?</x:v>
      </x:c>
      <x:c r="C11" t="str">
        <x:v>Procedura + evidenze scarichi</x:v>
      </x:c>
      <x:c r="D11" t="str"/>
      <x:c r="E11" t="str">
        <x:v>Furti/sprechi/giacenze errate</x:v>
      </x:c>
      <x:c r="F11" t="str">
        <x:v>Magazzino</x:v>
      </x:c>
    </x:row>
    <x:row r="12">
      <x:c r="A12" t="str">
        <x:v>Contratto</x:v>
      </x:c>
      <x:c r="B12" t="str">
        <x:v>Pregressi personale e debiti restano a concedente?</x:v>
      </x:c>
      <x:c r="C12" t="str">
        <x:v>Clausola manleva + consulente lavoro</x:v>
      </x:c>
      <x:c r="D12" t="str"/>
      <x:c r="E12" t="str">
        <x:v>Passività potenziali</x:v>
      </x:c>
      <x:c r="F12" t="str">
        <x:v>Legale</x:v>
      </x:c>
    </x:row>
  </x:sheetData>
  <x:pageMargins left="0.7" right="0.7" top="0.75" bottom="0.75" header="0.3" footer="0.3"/>
  <x:tableParts count="1">
    <x:tablePart xmlns:r="http://schemas.openxmlformats.org/officeDocument/2006/relationships" r:id="Rb98ebb769c294d85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Red flag</x:v>
      </x:c>
      <x:c r="B1" s="12" t="str">
        <x:v>Evidenza nei dati</x:v>
      </x:c>
      <x:c r="C1" s="12" t="str">
        <x:v>Impatto valutazione</x:v>
      </x:c>
      <x:c r="D1" s="12" t="str">
        <x:v>Azione</x:v>
      </x:c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Stipendi non nominativi</x:v>
      </x:c>
      <x:c r="B2" t="str">
        <x:v>324103 aggregato 316.047,87 €</x:v>
      </x:c>
      <x:c r="C2" t="str">
        <x:v>Margine manodopera non validabile</x:v>
      </x:c>
      <x:c r="D2" t="str">
        <x:v>Richiedere payroll per gli 8</x:v>
      </x:c>
    </x:row>
    <x:row r="3">
      <x:c r="A3" t="str">
        <x:v>Pneumatici in perdita apparente</x:v>
      </x:c>
      <x:c r="B3" t="str">
        <x:v>Ricavi 312.556,83 vs costi 350.770,02</x:v>
      </x:c>
      <x:c r="C3" t="str">
        <x:v>Possibile perdita o stock non considerato</x:v>
      </x:c>
      <x:c r="D3" t="str">
        <x:v>Riconciliare magazzino e 10 ODL campione</x:v>
      </x:c>
    </x:row>
    <x:row r="4">
      <x:c r="A4" t="str">
        <x:v>Meccanica anomala</x:v>
      </x:c>
      <x:c r="B4" t="str">
        <x:v>Costo 10.408,50 vs ricavo 276,20</x:v>
      </x:c>
      <x:c r="C4" t="str">
        <x:v>Costo forse non pertinente o ricavo riclassificato</x:v>
      </x:c>
      <x:c r="D4" t="str">
        <x:v>Dettaglio fatture e contropartita ricavo</x:v>
      </x:c>
    </x:row>
    <x:row r="5">
      <x:c r="A5" t="str">
        <x:v>2026 dashboard parziale</x:v>
      </x:c>
      <x:c r="B5" t="str">
        <x:v>Solo 915 interventi e 3 mesi visibili</x:v>
      </x:c>
      <x:c r="C5" t="str">
        <x:v>Non confrontabile con 2025 full year</x:v>
      </x:c>
      <x:c r="D5" t="str">
        <x:v>Richiedere periodo e dati sorgenti</x:v>
      </x:c>
    </x:row>
    <x:row r="6">
      <x:c r="A6" t="str">
        <x:v>Produttività 2026 in calo</x:v>
      </x:c>
      <x:c r="B6" t="str">
        <x:v>56,96% vs 66,54% 2025</x:v>
      </x:c>
      <x:c r="C6" t="str">
        <x:v>Rischio efficienza peggiorata</x:v>
      </x:c>
      <x:c r="D6" t="str">
        <x:v>Capire formula e ore non produttive</x:v>
      </x:c>
    </x:row>
    <x:row r="7">
      <x:c r="A7" t="str">
        <x:v>Ricavi intercompany non garantiti</x:v>
      </x:c>
      <x:c r="B7" t="str">
        <x:v>Bilanci indicano gruppo/controllanti; ramo potrebbe servire gruppo</x:v>
      </x:c>
      <x:c r="C7" t="str">
        <x:v>Fatturato post-affitto incerto</x:v>
      </x:c>
      <x:c r="D7" t="str">
        <x:v>Contratto servizio post-affitto</x:v>
      </x:c>
    </x:row>
    <x:row r="8">
      <x:c r="A8" t="str">
        <x:v>Mastrini puliti non provati</x:v>
      </x:c>
      <x:c r="B8" t="str">
        <x:v>Dichiarano esclusione voci non ramo</x:v>
      </x:c>
      <x:c r="C8" t="str">
        <x:v>Rischio perimetro arbitrario</x:v>
      </x:c>
      <x:c r="D8" t="str">
        <x:v>Chiedere criteri di esclusione e riconciliazione</x:v>
      </x:c>
    </x:row>
    <x:row r="9">
      <x:c r="A9" t="str">
        <x:v>Costi generali mancanti</x:v>
      </x:c>
      <x:c r="B9" t="str">
        <x:v>Analisi mastrini considera costi diretti principali</x:v>
      </x:c>
      <x:c r="C9" t="str">
        <x:v>EBITDA ramo sovrastimato</x:v>
      </x:c>
      <x:c r="D9" t="str">
        <x:v>Costruire conto economico normalizzato</x:v>
      </x:c>
    </x:row>
    <x:row r="10">
      <x:c r="A10" t="str">
        <x:v>Magazzino non riconciliato</x:v>
      </x:c>
      <x:c r="B10" t="str">
        <x:v>Rimanenze aziendali presenti ma non per ramo</x:v>
      </x:c>
      <x:c r="C10" t="str">
        <x:v>Margini ricambi distorti</x:v>
      </x:c>
      <x:c r="D10" t="str">
        <x:v>Inventario fisico + movimenti articolo</x:v>
      </x:c>
    </x:row>
  </x:sheetData>
  <x:pageMargins left="0.7" right="0.7" top="0.75" bottom="0.75" header="0.3" footer="0.3"/>
  <x:tableParts count="1">
    <x:tablePart xmlns:r="http://schemas.openxmlformats.org/officeDocument/2006/relationships" r:id="R4097ca43f8ae4e8e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Priorità</x:v>
      </x:c>
      <x:c r="B1" s="12" t="str">
        <x:v>Dato richiesto</x:v>
      </x:c>
      <x:c r="C1" s="12" t="str">
        <x:v>Formato richiesto</x:v>
      </x:c>
      <x:c r="D1" s="12" t="str">
        <x:v>Motivo</x:v>
      </x:c>
      <x:c r="E1" s="12" t="str">
        <x:v>Bloccante?</x:v>
      </x:c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Alta</x:v>
      </x:c>
      <x:c r="B2" t="str">
        <x:v>Export ordini di lavoro 2025-2026</x:v>
      </x:c>
      <x:c r="C2" t="str">
        <x:v>Excel/CSV con ID, data, cliente, targa, famiglia, ore, ricambi, fattura</x:v>
      </x:c>
      <x:c r="D2" t="str">
        <x:v>Collega ricavo-costo-operatore-mezzo</x:v>
      </x:c>
      <x:c r="E2" t="str">
        <x:v>Sì</x:v>
      </x:c>
    </x:row>
    <x:row r="3">
      <x:c r="A3" t="str">
        <x:v>Alta</x:v>
      </x:c>
      <x:c r="B3" t="str">
        <x:v>Elenco 8 operai trasferiti</x:v>
      </x:c>
      <x:c r="C3" t="str">
        <x:v>Matricola, mansione, livello, costo azienda, ore, ferie/ROL, TFR, straordinari</x:v>
      </x:c>
      <x:c r="D3" t="str">
        <x:v>Valida costo personale e capacità produttiva</x:v>
      </x:c>
      <x:c r="E3" t="str">
        <x:v>Sì</x:v>
      </x:c>
    </x:row>
    <x:row r="4">
      <x:c r="A4" t="str">
        <x:v>Alta</x:v>
      </x:c>
      <x:c r="B4" t="str">
        <x:v>Riconciliazione ricavi manodopera con ODL</x:v>
      </x:c>
      <x:c r="C4" t="str">
        <x:v>Excel con ODL e fatture</x:v>
      </x:c>
      <x:c r="D4" t="str">
        <x:v>Verifica che i 650k siano degli 8</x:v>
      </x:c>
      <x:c r="E4" t="str">
        <x:v>Sì</x:v>
      </x:c>
    </x:row>
    <x:row r="5">
      <x:c r="A5" t="str">
        <x:v>Alta</x:v>
      </x:c>
      <x:c r="B5" t="str">
        <x:v>Movimenti magazzino ricambi/pneumatici</x:v>
      </x:c>
      <x:c r="C5" t="str">
        <x:v>Articolo, carico, scarico, targa/ODL, giacenza</x:v>
      </x:c>
      <x:c r="D5" t="str">
        <x:v>Calcolo consumo reale</x:v>
      </x:c>
      <x:c r="E5" t="str">
        <x:v>Sì</x:v>
      </x:c>
    </x:row>
    <x:row r="6">
      <x:c r="A6" t="str">
        <x:v>Alta</x:v>
      </x:c>
      <x:c r="B6" t="str">
        <x:v>Inventario fisico ramo</x:v>
      </x:c>
      <x:c r="C6" t="str">
        <x:v>Quantità, costo medio, ubicazione, obsolescenza</x:v>
      </x:c>
      <x:c r="D6" t="str">
        <x:v>Valida magazzino acquisito/uso</x:v>
      </x:c>
      <x:c r="E6" t="str">
        <x:v>Sì</x:v>
      </x:c>
    </x:row>
    <x:row r="7">
      <x:c r="A7" t="str">
        <x:v>Alta</x:v>
      </x:c>
      <x:c r="B7" t="str">
        <x:v>Contratti/listini clienti post-affitto</x:v>
      </x:c>
      <x:c r="C7" t="str">
        <x:v>PDF/Excel con tariffe e durata</x:v>
      </x:c>
      <x:c r="D7" t="str">
        <x:v>Determina continuità ricavi</x:v>
      </x:c>
      <x:c r="E7" t="str">
        <x:v>Sì</x:v>
      </x:c>
    </x:row>
    <x:row r="8">
      <x:c r="A8" t="str">
        <x:v>Alta</x:v>
      </x:c>
      <x:c r="B8" t="str">
        <x:v>Elenco cespiti/attrezzature incluse</x:v>
      </x:c>
      <x:c r="C8" t="str">
        <x:v>Codice cespite, proprietà/leasing, valore, stato</x:v>
      </x:c>
      <x:c r="D8" t="str">
        <x:v>Evita investimenti nascosti</x:v>
      </x:c>
      <x:c r="E8" t="str">
        <x:v>Sì</x:v>
      </x:c>
    </x:row>
    <x:row r="9">
      <x:c r="A9" t="str">
        <x:v>Media</x:v>
      </x:c>
      <x:c r="B9" t="str">
        <x:v>Elenco fornitori con acquisti 2025</x:v>
      </x:c>
      <x:c r="C9" t="str">
        <x:v>Fornitore, categoria, importo, sconto, premio</x:v>
      </x:c>
      <x:c r="D9" t="str">
        <x:v>Valuta potere negoziale</x:v>
      </x:c>
      <x:c r="E9" t="str">
        <x:v>No</x:v>
      </x:c>
    </x:row>
    <x:row r="10">
      <x:c r="A10" t="str">
        <x:v>Media</x:v>
      </x:c>
      <x:c r="B10" t="str">
        <x:v>Dettaglio costi generali del ramo</x:v>
      </x:c>
      <x:c r="C10" t="str">
        <x:v>Affitto, utenze, software, sicurezza, amministrazione</x:v>
      </x:c>
      <x:c r="D10" t="str">
        <x:v>Normalizza EBITDA</x:v>
      </x:c>
      <x:c r="E10" t="str">
        <x:v>Sì</x:v>
      </x:c>
    </x:row>
    <x:row r="11">
      <x:c r="A11" t="str">
        <x:v>Media</x:v>
      </x:c>
      <x:c r="B11" t="str">
        <x:v>Interventi ripetuti/garanzie</x:v>
      </x:c>
      <x:c r="C11" t="str">
        <x:v>ODL collegati, note credito, rework</x:v>
      </x:c>
      <x:c r="D11" t="str">
        <x:v>Misura qualità e sprechi</x:v>
      </x:c>
      <x:c r="E11" t="str">
        <x:v>No</x:v>
      </x:c>
    </x:row>
    <x:row r="12">
      <x:c r="A12" t="str">
        <x:v>Media</x:v>
      </x:c>
      <x:c r="B12" t="str">
        <x:v>Dati fermi mezzo</x:v>
      </x:c>
      <x:c r="C12" t="str">
        <x:v>Data apertura/chiusura, motivo attesa</x:v>
      </x:c>
      <x:c r="D12" t="str">
        <x:v>Impatto operativo/clienti</x:v>
      </x:c>
      <x:c r="E12" t="str">
        <x:v>No</x:v>
      </x:c>
    </x:row>
  </x:sheetData>
  <x:pageMargins left="0.7" right="0.7" top="0.75" bottom="0.75" header="0.3" footer="0.3"/>
  <x:tableParts count="1">
    <x:tablePart xmlns:r="http://schemas.openxmlformats.org/officeDocument/2006/relationships" r:id="Re7b4ad37b23143ed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Area visita</x:v>
      </x:c>
      <x:c r="B1" s="12" t="str">
        <x:v>Cosa guardare</x:v>
      </x:c>
      <x:c r="C1" s="12" t="str">
        <x:v>Domanda sul campo</x:v>
      </x:c>
      <x:c r="D1" s="12" t="str">
        <x:v>Evidenza/foto</x:v>
      </x:c>
      <x:c r="E1" s="12" t="str">
        <x:v>Esito</x:v>
      </x:c>
      <x:c r="F1" s="12" t="str">
        <x:v>Note</x:v>
      </x:c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Officina</x:v>
      </x:c>
      <x:c r="B2" t="str">
        <x:v>Flusso ordine lavoro</x:v>
      </x:c>
      <x:c r="C2" t="str">
        <x:v>Aprono sempre ODL prima di lavorare?</x:v>
      </x:c>
      <x:c r="D2" t="str"/>
      <x:c r="E2" t="str"/>
      <x:c r="F2" t="str"/>
    </x:row>
    <x:row r="3">
      <x:c r="A3" t="str">
        <x:v>Officina</x:v>
      </x:c>
      <x:c r="B3" t="str">
        <x:v>Registrazione ore</x:v>
      </x:c>
      <x:c r="C3" t="str">
        <x:v>Ogni operaio consuntiva ore per intervento?</x:v>
      </x:c>
      <x:c r="D3" t="str"/>
      <x:c r="E3" t="str"/>
      <x:c r="F3" t="str"/>
    </x:row>
    <x:row r="4">
      <x:c r="A4" t="str">
        <x:v>Officina</x:v>
      </x:c>
      <x:c r="B4" t="str">
        <x:v>Assegnazione lavori</x:v>
      </x:c>
      <x:c r="C4" t="str">
        <x:v>Chi decide priorità e responsabilità?</x:v>
      </x:c>
      <x:c r="D4" t="str"/>
      <x:c r="E4" t="str"/>
      <x:c r="F4" t="str"/>
    </x:row>
    <x:row r="5">
      <x:c r="A5" t="str">
        <x:v>Personale</x:v>
      </x:c>
      <x:c r="B5" t="str">
        <x:v>Presenza 8 operai</x:v>
      </x:c>
      <x:c r="C5" t="str">
        <x:v>Chi sono gli 8 e cosa sanno fare?</x:v>
      </x:c>
      <x:c r="D5" t="str"/>
      <x:c r="E5" t="str"/>
      <x:c r="F5" t="str"/>
    </x:row>
    <x:row r="6">
      <x:c r="A6" t="str">
        <x:v>Personale</x:v>
      </x:c>
      <x:c r="B6" t="str">
        <x:v>Competenze chiave</x:v>
      </x:c>
      <x:c r="C6" t="str">
        <x:v>Se manca una persona quale attività si blocca?</x:v>
      </x:c>
      <x:c r="D6" t="str"/>
      <x:c r="E6" t="str"/>
      <x:c r="F6" t="str"/>
    </x:row>
    <x:row r="7">
      <x:c r="A7" t="str">
        <x:v>Magazzino</x:v>
      </x:c>
      <x:c r="B7" t="str">
        <x:v>Pneumatici</x:v>
      </x:c>
      <x:c r="C7" t="str">
        <x:v>Ogni gomma è tracciata su targa/ODL?</x:v>
      </x:c>
      <x:c r="D7" t="str"/>
      <x:c r="E7" t="str"/>
      <x:c r="F7" t="str"/>
    </x:row>
    <x:row r="8">
      <x:c r="A8" t="str">
        <x:v>Magazzino</x:v>
      </x:c>
      <x:c r="B8" t="str">
        <x:v>Scarico ricambi</x:v>
      </x:c>
      <x:c r="C8" t="str">
        <x:v>Chi autorizza prelievi e come vengono registrati?</x:v>
      </x:c>
      <x:c r="D8" t="str"/>
      <x:c r="E8" t="str"/>
      <x:c r="F8" t="str"/>
    </x:row>
    <x:row r="9">
      <x:c r="A9" t="str">
        <x:v>Magazzino</x:v>
      </x:c>
      <x:c r="B9" t="str">
        <x:v>Obsolescenza</x:v>
      </x:c>
      <x:c r="C9" t="str">
        <x:v>Ci sono ricambi fermi/vecchi/non utilizzabili?</x:v>
      </x:c>
      <x:c r="D9" t="str"/>
      <x:c r="E9" t="str"/>
      <x:c r="F9" t="str"/>
    </x:row>
    <x:row r="10">
      <x:c r="A10" t="str">
        <x:v>Attrezzature</x:v>
      </x:c>
      <x:c r="B10" t="str">
        <x:v>Cespiti inclusi</x:v>
      </x:c>
      <x:c r="C10" t="str">
        <x:v>Questa attrezzatura è di proprietà o leasing?</x:v>
      </x:c>
      <x:c r="D10" t="str"/>
      <x:c r="E10" t="str"/>
      <x:c r="F10" t="str"/>
    </x:row>
    <x:row r="11">
      <x:c r="A11" t="str">
        <x:v>Clienti</x:v>
      </x:c>
      <x:c r="B11" t="str">
        <x:v>Ricavi futuri</x:v>
      </x:c>
      <x:c r="C11" t="str">
        <x:v>Chi continuerà a comprare dopo affitto ramo?</x:v>
      </x:c>
      <x:c r="D11" t="str"/>
      <x:c r="E11" t="str"/>
      <x:c r="F11" t="str"/>
    </x:row>
    <x:row r="12">
      <x:c r="A12" t="str">
        <x:v>Qualità</x:v>
      </x:c>
      <x:c r="B12" t="str">
        <x:v>Rework</x:v>
      </x:c>
      <x:c r="C12" t="str">
        <x:v>Quanti interventi tornano per stesso problema?</x:v>
      </x:c>
      <x:c r="D12" t="str"/>
      <x:c r="E12" t="str"/>
      <x:c r="F12" t="str"/>
    </x:row>
    <x:row r="13">
      <x:c r="A13" t="str">
        <x:v>Sicurezza</x:v>
      </x:c>
      <x:c r="B13" t="str">
        <x:v>DPI e procedure</x:v>
      </x:c>
      <x:c r="C13" t="str">
        <x:v>DPI e formazione sono aggiornati?</x:v>
      </x:c>
      <x:c r="D13" t="str"/>
      <x:c r="E13" t="str"/>
      <x:c r="F13" t="str"/>
    </x:row>
    <x:row r="14">
      <x:c r="A14" t="str">
        <x:v>Sistema</x:v>
      </x:c>
      <x:c r="B14" t="str">
        <x:v>Export dati</x:v>
      </x:c>
      <x:c r="C14" t="str">
        <x:v>Il gestionale esporta ODL, ore, ricambi e fatture?</x:v>
      </x:c>
      <x:c r="D14" t="str"/>
      <x:c r="E14" t="str"/>
      <x:c r="F14" t="str"/>
    </x:row>
  </x:sheetData>
  <x:pageMargins left="0.7" right="0.7" top="0.75" bottom="0.75" header="0.3" footer="0.3"/>
  <x:tableParts count="1">
    <x:tablePart xmlns:r="http://schemas.openxmlformats.org/officeDocument/2006/relationships" r:id="R9edcb2c3e643448e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Scenario</x:v>
      </x:c>
      <x:c r="B1" s="14" t="str">
        <x:v>Descrizione</x:v>
      </x:c>
      <x:c r="C1" s="20" t="str">
        <x:v>Ricavi ramo</x:v>
      </x:c>
      <x:c r="D1" s="20" t="str">
        <x:v>Costi diretti</x:v>
      </x:c>
      <x:c r="E1" s="20" t="str">
        <x:v>Rettifiche stimate</x:v>
      </x:c>
      <x:c r="F1" s="20" t="str">
        <x:v>Margine normalizzato</x:v>
      </x:c>
      <x:c r="G1" s="20" t="str">
        <x:v>Multiplo indicativo</x:v>
      </x:c>
      <x:c r="H1" s="20" t="str">
        <x:v>Valore indicativo</x:v>
      </x:c>
      <x:c r="I1" s="14" t="str">
        <x:v>Attendibilità</x:v>
      </x:c>
      <x:c r="J1" s="14"/>
      <x:c r="K1" s="14"/>
      <x:c r="L1" s="14"/>
      <x:c r="M1" s="14"/>
      <x:c r="N1" s="14"/>
      <x:c r="O1" s="14"/>
      <x:c r="P1" s="14"/>
      <x:c r="Q1" s="14"/>
      <x:c r="R1" s="14"/>
      <x:c r="S1" s="14"/>
      <x:c r="T1" s="14"/>
      <x:c r="U1" s="14"/>
      <x:c r="V1" s="14"/>
      <x:c r="W1" s="14"/>
      <x:c r="X1" s="14"/>
      <x:c r="Y1" s="14"/>
      <x:c r="Z1" s="14"/>
    </x:row>
    <x:row r="2">
      <x:c r="A2" t="str">
        <x:v>Dato grezzo mastrini</x:v>
      </x:c>
      <x:c r="B2" t="str">
        <x:v>Somma ricavi e costi diretti dei 28 mastrini</x:v>
      </x:c>
      <x:c r="C2" t="n">
        <x:f>'05_Margini_Ramo'!$M$2</x:f>
        <x:v>1404022.7299999997</x:v>
      </x:c>
      <x:c r="D2" t="n">
        <x:f>'05_Margini_Ramo'!$M$3</x:f>
        <x:v>1035662.6099999999</x:v>
      </x:c>
      <x:c r="E2" t="n">
        <x:v>0</x:v>
      </x:c>
      <x:c r="F2" t="n">
        <x:f>C2-D2-E2</x:f>
        <x:v>368360.1199999999</x:v>
      </x:c>
      <x:c r="G2" t="str"/>
      <x:c r="H2" t="str"/>
      <x:c r="I2" t="str">
        <x:v>Bassa</x:v>
      </x:c>
    </x:row>
    <x:row r="3">
      <x:c r="A3" t="str">
        <x:v>Prudente</x:v>
      </x:c>
      <x:c r="B3" t="str">
        <x:v>Esclude ricavi non ricorrenti e rettifica rischio personale/magazzino</x:v>
      </x:c>
      <x:c r="C3" t="str"/>
      <x:c r="D3" t="str"/>
      <x:c r="E3" t="str"/>
      <x:c r="F3" t="str"/>
      <x:c r="G3" t="str"/>
      <x:c r="H3" t="str"/>
      <x:c r="I3" t="str">
        <x:v>Da calcolare dopo dati</x:v>
      </x:c>
    </x:row>
    <x:row r="4">
      <x:c r="A4" t="str">
        <x:v>Base</x:v>
      </x:c>
      <x:c r="B4" t="str">
        <x:v>Ricavi confermati da contratti + costi pieni 8 + consumi reali</x:v>
      </x:c>
      <x:c r="C4" t="str"/>
      <x:c r="D4" t="str"/>
      <x:c r="E4" t="str"/>
      <x:c r="F4" t="str"/>
      <x:c r="G4" t="str"/>
      <x:c r="H4" t="str"/>
      <x:c r="I4" t="str">
        <x:v>Da calcolare dopo dati</x:v>
      </x:c>
    </x:row>
    <x:row r="5">
      <x:c r="A5" t="str">
        <x:v>Ottimistico</x:v>
      </x:c>
      <x:c r="B5" t="str">
        <x:v>Include continuità clienti e recupero marginalità acquisti</x:v>
      </x:c>
      <x:c r="C5" t="str"/>
      <x:c r="D5" t="str"/>
      <x:c r="E5" t="str"/>
      <x:c r="F5" t="str"/>
      <x:c r="G5" t="str"/>
      <x:c r="H5" t="str"/>
      <x:c r="I5" t="str">
        <x:v>Da calcolare dopo dati</x:v>
      </x:c>
    </x:row>
    <x:row r="6">
      <x:c r="A6" t="str">
        <x:v>Nota metodo</x:v>
      </x:c>
      <x:c r="B6" t="str">
        <x:v>Non attribuire valore a ricavi non riconciliati con ODL e contratti post-affitto</x:v>
      </x:c>
      <x:c r="C6" t="str"/>
      <x:c r="D6" t="str"/>
      <x:c r="E6" t="str"/>
      <x:c r="F6" t="str"/>
      <x:c r="G6" t="str"/>
      <x:c r="H6" t="str"/>
      <x:c r="I6" t="str"/>
    </x:row>
  </x:sheetData>
  <x:pageMargins left="0.7" right="0.7" top="0.75" bottom="0.75" header="0.3" footer="0.3"/>
  <x:tableParts count="1">
    <x:tablePart xmlns:r="http://schemas.openxmlformats.org/officeDocument/2006/relationships" r:id="R9a2be440a31b4ec7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18" hidden="0" customWidth="1"/>
    <x:col min="4" max="4" width="18" hidden="0" customWidth="1"/>
    <x:col min="5" max="5" width="22" hidden="0" customWidth="1"/>
    <x:col min="6" max="6" width="3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2" t="str">
        <x:v>Termine</x:v>
      </x:c>
      <x:c r="B1" s="12" t="str">
        <x:v>Spiegazione operativa</x:v>
      </x:c>
      <x:c r="C1" s="12"/>
      <x:c r="D1" s="12"/>
      <x:c r="E1" s="12"/>
      <x:c r="F1" s="12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  <x:c r="Z1" s="12"/>
    </x:row>
    <x:row r="2">
      <x:c r="A2" t="str">
        <x:v>Dare/Avere nei mastrini</x:v>
      </x:c>
      <x:c r="B2" t="str">
        <x:v>Non sono costo e ricavo nello stesso file. Nei conti ricavo l'Avere è il ricavo; nei conti costo il Dare è il costo.</x:v>
      </x:c>
    </x:row>
    <x:row r="3">
      <x:c r="A3" t="str">
        <x:v>Ricavo netto</x:v>
      </x:c>
      <x:c r="B3" t="str">
        <x:v>Ricavi meno storni/note credito/rettifiche del conto ricavo.</x:v>
      </x:c>
    </x:row>
    <x:row r="4">
      <x:c r="A4" t="str">
        <x:v>Costo netto</x:v>
      </x:c>
      <x:c r="B4" t="str">
        <x:v>Costo meno storni/resi/note credito del conto costo.</x:v>
      </x:c>
    </x:row>
    <x:row r="5">
      <x:c r="A5" t="str">
        <x:v>Consumo reale ricambi</x:v>
      </x:c>
      <x:c r="B5" t="str">
        <x:v>Magazzino iniziale + acquisti - magazzino finale.</x:v>
      </x:c>
    </x:row>
    <x:row r="6">
      <x:c r="A6" t="str">
        <x:v>Margine apparente</x:v>
      </x:c>
      <x:c r="B6" t="str">
        <x:v>Ricavi mastrino meno costi mastrino, prima di normalizzazioni.</x:v>
      </x:c>
    </x:row>
    <x:row r="7">
      <x:c r="A7" t="str">
        <x:v>Margine normalizzato</x:v>
      </x:c>
      <x:c r="B7" t="str">
        <x:v>Margine dopo perimetro 8 operai, magazzino, costi generali, ricavi confermati.</x:v>
      </x:c>
    </x:row>
    <x:row r="8">
      <x:c r="A8" t="str">
        <x:v>Run-rate</x:v>
      </x:c>
      <x:c r="B8" t="str">
        <x:v>Risultato annuale ricorrente e sostenibile dopo esclusione di una tantum.</x:v>
      </x:c>
    </x:row>
    <x:row r="9">
      <x:c r="A9" t="str">
        <x:v>EBITDA ramo</x:v>
      </x:c>
      <x:c r="B9" t="str">
        <x:v>Margine operativo del ramo prima di ammortamenti, interessi e imposte, calcolato con costi reali necessari.</x:v>
      </x:c>
    </x:row>
    <x:row r="10">
      <x:c r="A10" t="str">
        <x:v>ODL</x:v>
      </x:c>
      <x:c r="B10" t="str">
        <x:v>Ordine di lavoro; documento operativo che deve collegare cliente, mezzo, ore, ricambi, fattura.</x:v>
      </x:c>
    </x:row>
    <x:row r="11">
      <x:c r="A11" t="str">
        <x:v>MTBF</x:v>
      </x:c>
      <x:c r="B11" t="str">
        <x:v>Tempo medio tra guasti; più alto è meglio.</x:v>
      </x:c>
    </x:row>
    <x:row r="12">
      <x:c r="A12" t="str">
        <x:v>MTTR</x:v>
      </x:c>
      <x:c r="B12" t="str">
        <x:v>Tempo medio di riparazione; più basso è meglio.</x:v>
      </x:c>
    </x:row>
  </x:sheetData>
  <x:pageMargins left="0.7" right="0.7" top="0.75" bottom="0.75" header="0.3" footer="0.3"/>
  <x:tableParts count="1">
    <x:tablePart xmlns:r="http://schemas.openxmlformats.org/officeDocument/2006/relationships" r:id="Rf6704bc1743a4903"/>
  </x:tableParts>
</x:worksheet>
</file>